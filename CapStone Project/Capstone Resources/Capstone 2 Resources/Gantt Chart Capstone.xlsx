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10" documentId="8_{72DA9E93-D7CB-4D04-8D60-BE2F16EF5B39}" xr6:coauthVersionLast="47" xr6:coauthVersionMax="47" xr10:uidLastSave="{2EF4C701-CAC1-41DA-8AA9-34DE0D3066A2}"/>
  <bookViews>
    <workbookView xWindow="-120" yWindow="-120" windowWidth="29040" windowHeight="15720" tabRatio="602"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11" l="1"/>
  <c r="E29" i="11"/>
  <c r="F29" i="11" s="1"/>
  <c r="E9" i="11"/>
  <c r="H13" i="11"/>
  <c r="H7" i="11"/>
  <c r="E32" i="11" l="1"/>
  <c r="F32" i="11" s="1"/>
  <c r="E34" i="11" s="1"/>
  <c r="H29" i="11"/>
  <c r="H10" i="11"/>
  <c r="I5" i="11"/>
  <c r="I4" i="11" s="1"/>
  <c r="H42" i="11"/>
  <c r="H41" i="11"/>
  <c r="H8" i="11"/>
  <c r="F34" i="11" l="1"/>
  <c r="E36" i="11" s="1"/>
  <c r="E37" i="11" s="1"/>
  <c r="F37" i="11" s="1"/>
  <c r="H9" i="11"/>
  <c r="I6" i="11"/>
  <c r="H19" i="11" l="1"/>
  <c r="H16" i="11"/>
  <c r="J5" i="11"/>
  <c r="K5" i="11" s="1"/>
  <c r="L5" i="11" s="1"/>
  <c r="M5" i="11" s="1"/>
  <c r="N5" i="11" s="1"/>
  <c r="O5" i="11" s="1"/>
  <c r="P5" i="11" s="1"/>
  <c r="H11" i="11" l="1"/>
  <c r="H14" i="11"/>
  <c r="H15" i="11"/>
  <c r="P4" i="11"/>
  <c r="Q5" i="11"/>
  <c r="R5" i="11" s="1"/>
  <c r="S5" i="11" s="1"/>
  <c r="T5" i="11" s="1"/>
  <c r="U5" i="11" s="1"/>
  <c r="V5" i="11" s="1"/>
  <c r="W5" i="11" s="1"/>
  <c r="J6" i="11"/>
  <c r="H17" i="11" l="1"/>
  <c r="H18"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AD6" i="11"/>
  <c r="BK5" i="11" l="1"/>
  <c r="BJ6" i="11"/>
  <c r="AE6" i="11"/>
  <c r="BL5" i="11" l="1"/>
  <c r="BM5" i="11" s="1"/>
  <c r="BK6" i="11"/>
  <c r="AF6" i="11"/>
  <c r="BM4" i="11" l="1"/>
  <c r="BM6" i="11"/>
  <c r="BN5" i="11"/>
  <c r="BL6" i="11"/>
  <c r="AG6" i="11"/>
  <c r="BO5" i="11" l="1"/>
  <c r="BN6" i="11"/>
  <c r="AH6" i="11"/>
  <c r="BP5" i="11" l="1"/>
  <c r="BO6" i="11"/>
  <c r="AI6" i="11"/>
  <c r="BQ5" i="11" l="1"/>
  <c r="BP6" i="11"/>
  <c r="AJ6" i="11"/>
  <c r="BR5" i="11" l="1"/>
  <c r="BQ6" i="11"/>
  <c r="AK6" i="11"/>
  <c r="BS5" i="11" l="1"/>
  <c r="BR6" i="11"/>
  <c r="AL6" i="11"/>
  <c r="BS6" i="11" l="1"/>
  <c r="BT5" i="11"/>
  <c r="AM6" i="11"/>
  <c r="BT6" i="11" l="1"/>
  <c r="BT4" i="11"/>
  <c r="BU5" i="11"/>
  <c r="AN6" i="11"/>
  <c r="BU6" i="11" l="1"/>
  <c r="BV5" i="11"/>
  <c r="AO6" i="11"/>
  <c r="BV6" i="11" l="1"/>
  <c r="BW5" i="11"/>
  <c r="AP6" i="11"/>
  <c r="BW6" i="11" l="1"/>
  <c r="BX5" i="11"/>
  <c r="AQ6" i="11"/>
  <c r="BX6" i="11" l="1"/>
  <c r="BY5" i="11"/>
  <c r="AR6" i="11"/>
  <c r="BZ5" i="11" l="1"/>
  <c r="BY6" i="11"/>
  <c r="BZ6" i="11" l="1"/>
  <c r="CA5" i="11"/>
  <c r="CA4" i="11" l="1"/>
  <c r="CA6" i="11"/>
  <c r="CB5" i="11"/>
  <c r="CC5" i="11" l="1"/>
  <c r="CB6" i="11"/>
  <c r="CD5" i="11" l="1"/>
  <c r="CC6" i="11"/>
  <c r="CE5" i="11" l="1"/>
  <c r="CD6" i="11"/>
  <c r="CE6" i="11" l="1"/>
  <c r="CF5" i="11"/>
  <c r="CF6" i="11" l="1"/>
  <c r="CG5" i="11"/>
  <c r="CG6" i="11" l="1"/>
  <c r="CH5" i="11"/>
  <c r="CI5" i="11" l="1"/>
  <c r="CH6" i="11"/>
  <c r="CH4" i="11"/>
  <c r="CJ5" i="11" l="1"/>
  <c r="CI6" i="11"/>
  <c r="CJ6" i="11" l="1"/>
  <c r="CK5" i="11"/>
  <c r="CL5" i="11" l="1"/>
  <c r="CK6" i="11"/>
  <c r="CM5" i="11" l="1"/>
  <c r="CL6" i="11"/>
  <c r="CN5" i="11" l="1"/>
  <c r="CM6" i="11"/>
  <c r="CN6" i="11" l="1"/>
  <c r="CO5" i="11"/>
  <c r="CO6" i="11" l="1"/>
  <c r="CO4" i="11"/>
  <c r="CP5" i="11"/>
  <c r="CQ5" i="11" l="1"/>
  <c r="CP6" i="11"/>
  <c r="CQ6" i="11" l="1"/>
  <c r="CR5" i="11"/>
  <c r="CS5" i="11" l="1"/>
  <c r="CR6" i="11"/>
  <c r="CS6" i="11" l="1"/>
  <c r="CT5" i="11"/>
  <c r="CU5" i="11" l="1"/>
  <c r="CT6" i="11"/>
  <c r="CU6" i="11" l="1"/>
  <c r="CV5" i="11"/>
  <c r="CW5" i="11" l="1"/>
  <c r="CV6" i="11"/>
  <c r="CV4" i="11"/>
  <c r="CX5" i="11" l="1"/>
  <c r="CW6" i="11"/>
  <c r="CX6" i="11" l="1"/>
  <c r="CY5" i="11"/>
  <c r="CY6" i="11" l="1"/>
  <c r="CZ5" i="11"/>
  <c r="DA5" i="11" l="1"/>
  <c r="CZ6" i="11"/>
  <c r="DA6" i="11" l="1"/>
  <c r="DB5" i="11"/>
  <c r="DB6" i="11" l="1"/>
  <c r="DC5" i="11"/>
  <c r="DC4" i="11" l="1"/>
  <c r="DD5" i="11"/>
  <c r="DC6" i="11"/>
  <c r="DE5" i="11" l="1"/>
  <c r="DD6" i="11"/>
  <c r="DE6" i="11" l="1"/>
  <c r="DF5" i="11"/>
  <c r="DF6" i="11" l="1"/>
  <c r="DG5" i="11"/>
  <c r="DH5" i="11" l="1"/>
  <c r="DG6" i="11"/>
  <c r="DH6" i="11" l="1"/>
  <c r="DI5" i="11"/>
  <c r="DI6" i="11" l="1"/>
  <c r="DJ5" i="11"/>
  <c r="DJ4" i="11" l="1"/>
  <c r="DK5" i="11"/>
  <c r="DJ6" i="11"/>
  <c r="DK6" i="11" l="1"/>
  <c r="DL5" i="11"/>
  <c r="DL6" i="11" l="1"/>
  <c r="DM5" i="11"/>
  <c r="DN5" i="11" l="1"/>
  <c r="DM6" i="11"/>
  <c r="DO5" i="11" l="1"/>
  <c r="DN6" i="11"/>
  <c r="DP5" i="11" l="1"/>
  <c r="DO6" i="11"/>
  <c r="DP6" i="11" l="1"/>
  <c r="DQ5" i="11"/>
  <c r="DQ6" i="11" l="1"/>
  <c r="DR5" i="11"/>
  <c r="DQ4" i="11"/>
  <c r="DS5" i="11" l="1"/>
  <c r="DR6" i="11"/>
  <c r="DT5" i="11" l="1"/>
  <c r="DS6" i="11"/>
  <c r="DU5" i="11" l="1"/>
  <c r="DT6" i="11"/>
  <c r="DV5" i="11" l="1"/>
  <c r="DU6" i="11"/>
  <c r="DW5" i="11" l="1"/>
  <c r="DV6" i="11"/>
  <c r="DW6" i="11" l="1"/>
  <c r="DX5" i="11"/>
  <c r="DX4" i="11" l="1"/>
  <c r="DY5" i="11"/>
  <c r="DX6" i="11"/>
  <c r="DY6" i="11" l="1"/>
  <c r="DZ5" i="11"/>
  <c r="EA5" i="11" l="1"/>
  <c r="DZ6" i="11"/>
  <c r="EB5" i="11" l="1"/>
  <c r="EA6" i="11"/>
  <c r="EB6" i="11" l="1"/>
  <c r="EC5" i="11"/>
  <c r="EC6" i="11" l="1"/>
  <c r="ED5" i="11"/>
  <c r="EE5" i="11" l="1"/>
  <c r="ED6" i="11"/>
  <c r="EE4" i="11" l="1"/>
  <c r="EF5" i="11"/>
  <c r="EE6" i="11"/>
  <c r="EG5" i="11" l="1"/>
  <c r="EF6" i="11"/>
  <c r="EH5" i="11" l="1"/>
  <c r="EG6" i="11"/>
  <c r="EI5" i="11" l="1"/>
  <c r="EH6" i="11"/>
  <c r="EI6" i="11" l="1"/>
  <c r="EJ5" i="11"/>
  <c r="EJ6" i="11" l="1"/>
  <c r="EK5" i="11"/>
  <c r="EL5" i="11" l="1"/>
  <c r="EK6" i="11"/>
  <c r="EL6" i="11" l="1"/>
  <c r="EL4" i="11"/>
  <c r="EM5" i="11"/>
  <c r="EN5" i="11" l="1"/>
  <c r="EM6" i="11"/>
  <c r="EO5" i="11" l="1"/>
  <c r="EN6" i="11"/>
  <c r="EO6" i="11" l="1"/>
  <c r="EP5" i="11"/>
  <c r="EP6" i="11" l="1"/>
  <c r="EQ5" i="11"/>
  <c r="EQ6" i="11" l="1"/>
  <c r="ER5" i="11"/>
  <c r="ER6" i="11" l="1"/>
  <c r="ES5" i="11"/>
  <c r="ET5" i="11" l="1"/>
  <c r="ES4" i="11"/>
  <c r="ES6" i="11"/>
  <c r="ET6" i="11" l="1"/>
  <c r="EU5" i="11"/>
  <c r="EU6" i="11" l="1"/>
  <c r="EV5" i="11"/>
  <c r="EV6" i="11" l="1"/>
  <c r="EW5" i="11"/>
  <c r="EX5" i="11" l="1"/>
  <c r="EW6" i="11"/>
  <c r="EY5" i="11" l="1"/>
  <c r="EX6" i="11"/>
  <c r="EY6" i="11" l="1"/>
  <c r="EZ5" i="11"/>
  <c r="EZ4" i="11" l="1"/>
  <c r="FA5" i="11"/>
  <c r="EZ6" i="11"/>
  <c r="FB5" i="11" l="1"/>
  <c r="FA6" i="11"/>
  <c r="FB6" i="11" l="1"/>
  <c r="FC5" i="11"/>
  <c r="FC6" i="11" l="1"/>
  <c r="FD5" i="11"/>
  <c r="FE5" i="11" l="1"/>
  <c r="FD6" i="11"/>
  <c r="FF5" i="11" l="1"/>
  <c r="FE6" i="11"/>
  <c r="FG5" i="11" l="1"/>
  <c r="FF6" i="11"/>
  <c r="FG6" i="11" l="1"/>
  <c r="FH5" i="11"/>
  <c r="FG4" i="11"/>
  <c r="FH6" i="11" l="1"/>
  <c r="FI5" i="11"/>
  <c r="FI6" i="11" l="1"/>
  <c r="FJ5" i="11"/>
  <c r="FJ6" i="11" l="1"/>
  <c r="FK5" i="11"/>
  <c r="FK6" i="11" l="1"/>
  <c r="FL5" i="11"/>
  <c r="FM5" i="11" l="1"/>
  <c r="FL6" i="11"/>
  <c r="FM6" i="11" l="1"/>
  <c r="FN5" i="11"/>
  <c r="FO5" i="11" l="1"/>
  <c r="FN4" i="11"/>
  <c r="FN6" i="11"/>
  <c r="FP5" i="11" l="1"/>
  <c r="FO6" i="11"/>
  <c r="FQ5" i="11" l="1"/>
  <c r="FP6" i="11"/>
  <c r="FR5" i="11" l="1"/>
  <c r="FQ6" i="11"/>
  <c r="FS5" i="11" l="1"/>
  <c r="FR6" i="11"/>
  <c r="FS6" i="11" l="1"/>
  <c r="FT5" i="11"/>
  <c r="FT6" i="11" l="1"/>
  <c r="FU5" i="11"/>
  <c r="FV5" i="11" l="1"/>
  <c r="FU6" i="11"/>
  <c r="FU4" i="11"/>
  <c r="FV6" i="11" l="1"/>
  <c r="FW5" i="11"/>
  <c r="FW6" i="11" l="1"/>
  <c r="FX5" i="11"/>
  <c r="FX6" i="11" l="1"/>
  <c r="FY5" i="11"/>
  <c r="FY6" i="11" l="1"/>
  <c r="FZ5" i="11"/>
  <c r="GA5" i="11" l="1"/>
  <c r="FZ6" i="11"/>
  <c r="GB5" i="11" l="1"/>
  <c r="GA6" i="11"/>
  <c r="GC5" i="11" l="1"/>
  <c r="GB6" i="11"/>
  <c r="GB4" i="11"/>
  <c r="GC6" i="11" l="1"/>
  <c r="GD5" i="11"/>
  <c r="GE5" i="11" l="1"/>
  <c r="GD6" i="11"/>
  <c r="GF5" i="11" l="1"/>
  <c r="GE6" i="11"/>
  <c r="GF6" i="11" l="1"/>
  <c r="GG5" i="11"/>
  <c r="GG6" i="11" l="1"/>
  <c r="GH5" i="11"/>
  <c r="GI5" i="11" l="1"/>
  <c r="GH6" i="11"/>
  <c r="GJ5" i="11" l="1"/>
  <c r="GI6" i="11"/>
  <c r="GI4" i="11"/>
  <c r="GK5" i="11" l="1"/>
  <c r="GJ6" i="11"/>
  <c r="GK6" i="11" l="1"/>
  <c r="GL5" i="11"/>
  <c r="GL6" i="11" l="1"/>
  <c r="GM5" i="11"/>
  <c r="GM6" i="11" l="1"/>
  <c r="GN5" i="11"/>
  <c r="GO5" i="11" l="1"/>
  <c r="GN6" i="11"/>
  <c r="GO6" i="11" l="1"/>
  <c r="GP5" i="11"/>
  <c r="GP6" i="11" l="1"/>
  <c r="GP4" i="11"/>
  <c r="GQ5" i="11"/>
  <c r="GQ6" i="11" l="1"/>
  <c r="GR5" i="11"/>
  <c r="GR6" i="11" l="1"/>
  <c r="GS5" i="11"/>
  <c r="GS6" i="11" l="1"/>
  <c r="GT5" i="11"/>
  <c r="GU5" i="11" l="1"/>
  <c r="GT6" i="11"/>
  <c r="GU6" i="11" l="1"/>
  <c r="GV5" i="11"/>
  <c r="GV6" i="11" l="1"/>
  <c r="GW5" i="11"/>
  <c r="GW6" i="11" l="1"/>
  <c r="GX5" i="11"/>
  <c r="GW4" i="11"/>
  <c r="GX6" i="11" l="1"/>
  <c r="GY5" i="11"/>
  <c r="GZ5" i="11" l="1"/>
  <c r="GY6" i="11"/>
  <c r="GZ6" i="11" l="1"/>
  <c r="HA5" i="11"/>
  <c r="HB5" i="11" l="1"/>
  <c r="HA6" i="11"/>
  <c r="HC5" i="11" l="1"/>
  <c r="HB6" i="11"/>
  <c r="HC6" i="11" l="1"/>
  <c r="HD5" i="11"/>
  <c r="HD4" i="11" l="1"/>
  <c r="HD6" i="11"/>
  <c r="HE5" i="11"/>
  <c r="HE6" i="11" l="1"/>
  <c r="HF5" i="11"/>
  <c r="HF6" i="11" l="1"/>
  <c r="HG5" i="11"/>
  <c r="HG6" i="11" l="1"/>
  <c r="HH5" i="11"/>
  <c r="HH6" i="11" l="1"/>
  <c r="HI5" i="11"/>
  <c r="HI6" i="11" l="1"/>
  <c r="HJ5" i="11"/>
  <c r="HJ6" i="11" l="1"/>
  <c r="HK5" i="11"/>
  <c r="HL5" i="11" l="1"/>
  <c r="HK4" i="11"/>
  <c r="HK6" i="11"/>
  <c r="HM5" i="11" l="1"/>
  <c r="HL6" i="11"/>
  <c r="HN5" i="11" l="1"/>
  <c r="HM6" i="11"/>
  <c r="HO5" i="11" l="1"/>
  <c r="HN6" i="11"/>
  <c r="HP5" i="11" l="1"/>
  <c r="HO6" i="11"/>
  <c r="HP6" i="11" l="1"/>
  <c r="HQ5" i="11"/>
  <c r="HQ6" i="11" l="1"/>
  <c r="HR5" i="11"/>
  <c r="HR4" i="11" l="1"/>
  <c r="HR6" i="11"/>
  <c r="HS5" i="11"/>
  <c r="HS6" i="11" l="1"/>
  <c r="HT5" i="11"/>
  <c r="HT6" i="11" l="1"/>
  <c r="HU5" i="11"/>
  <c r="HU6" i="11" l="1"/>
  <c r="HV5" i="11"/>
  <c r="HV6" i="11" l="1"/>
  <c r="HW5" i="11"/>
  <c r="HX5" i="11" l="1"/>
  <c r="HW6" i="11"/>
  <c r="HX6" i="11" l="1"/>
  <c r="HY5" i="11"/>
  <c r="HZ5" i="11" l="1"/>
  <c r="HY6" i="11"/>
  <c r="HY4" i="11"/>
  <c r="IA5" i="11" l="1"/>
  <c r="HZ6" i="11"/>
  <c r="IB5" i="11" l="1"/>
  <c r="IA6" i="11"/>
  <c r="IB6" i="11" l="1"/>
  <c r="IC5" i="11"/>
  <c r="IC6" i="11" l="1"/>
  <c r="ID5" i="11"/>
  <c r="ID6" i="11" l="1"/>
  <c r="IE5" i="11"/>
  <c r="IE6" i="11" l="1"/>
  <c r="IF5" i="11"/>
  <c r="IF6" i="11" l="1"/>
  <c r="IF4" i="11"/>
  <c r="IG5" i="11"/>
  <c r="IH5" i="11" l="1"/>
  <c r="IG6" i="11"/>
  <c r="IH6" i="11" l="1"/>
  <c r="II5" i="11"/>
  <c r="IJ5" i="11" l="1"/>
  <c r="II6" i="11"/>
  <c r="IK5" i="11" l="1"/>
  <c r="IJ6" i="11"/>
  <c r="IL5" i="11" l="1"/>
  <c r="IK6" i="11"/>
  <c r="IM5" i="11" l="1"/>
  <c r="IL6" i="11"/>
  <c r="IM6" i="11" l="1"/>
  <c r="IN5" i="11"/>
  <c r="IM4" i="11"/>
  <c r="IN6" i="11" l="1"/>
  <c r="IO5" i="11"/>
  <c r="IO6" i="11" l="1"/>
  <c r="IP5" i="11"/>
  <c r="IP6" i="11" l="1"/>
  <c r="IQ5" i="11"/>
  <c r="IQ6" i="11" l="1"/>
  <c r="IR5" i="11"/>
  <c r="IR6" i="11" l="1"/>
  <c r="IS5" i="11"/>
  <c r="IS6" i="11" l="1"/>
  <c r="IT5" i="11"/>
  <c r="IU5" i="11" l="1"/>
  <c r="IT4" i="11"/>
  <c r="IT6" i="11"/>
  <c r="IV5" i="11" l="1"/>
  <c r="IU6" i="11"/>
  <c r="IW5" i="11" l="1"/>
  <c r="IV6" i="11"/>
  <c r="IX5" i="11" l="1"/>
  <c r="IW6" i="11"/>
  <c r="IY5" i="11" l="1"/>
  <c r="IX6" i="11"/>
  <c r="IY6" i="11" l="1"/>
  <c r="IZ5" i="11"/>
  <c r="JA5" i="11" l="1"/>
  <c r="IZ6" i="11"/>
  <c r="JA6" i="11" l="1"/>
  <c r="JB5" i="11"/>
  <c r="JA4" i="11"/>
  <c r="JC5" i="11" l="1"/>
  <c r="JB6" i="11"/>
  <c r="JC6" i="11" l="1"/>
  <c r="JD5" i="11"/>
  <c r="JD6" i="11" l="1"/>
  <c r="JE5" i="11"/>
  <c r="JE6" i="11" l="1"/>
  <c r="JF5" i="11"/>
  <c r="JF6" i="11" l="1"/>
  <c r="JG5" i="11"/>
  <c r="JH5" i="11" l="1"/>
  <c r="JG6" i="11"/>
  <c r="JI5" i="11" l="1"/>
  <c r="JH6" i="11"/>
  <c r="JH4" i="11"/>
  <c r="JJ5" i="11" l="1"/>
  <c r="JI6" i="11"/>
  <c r="JK5" i="11" l="1"/>
  <c r="JJ6" i="11"/>
  <c r="JK6" i="11" l="1"/>
  <c r="JL5" i="11"/>
  <c r="JL6" i="11" l="1"/>
  <c r="JM5" i="11"/>
  <c r="JM6" i="11" l="1"/>
  <c r="JN5" i="11"/>
  <c r="JN6" i="11" l="1"/>
  <c r="JO5" i="11"/>
  <c r="JO6" i="11" l="1"/>
  <c r="JP5" i="11"/>
  <c r="JO4" i="11"/>
  <c r="JP6" i="11" l="1"/>
  <c r="JQ5" i="11"/>
  <c r="JQ6" i="11" l="1"/>
  <c r="JR5" i="11"/>
  <c r="JR6" i="11" l="1"/>
  <c r="JS5" i="11"/>
  <c r="JT5" i="11" l="1"/>
  <c r="JS6" i="11"/>
  <c r="JU5" i="11" l="1"/>
  <c r="JT6" i="11"/>
  <c r="JV5" i="11" l="1"/>
  <c r="JU6" i="11"/>
  <c r="JW5" i="11" l="1"/>
  <c r="JV6" i="11"/>
  <c r="JV4" i="11"/>
  <c r="JW6" i="11" l="1"/>
  <c r="JX5" i="11"/>
  <c r="JY5" i="11" l="1"/>
  <c r="JX6" i="11"/>
  <c r="JZ5" i="11" l="1"/>
  <c r="JY6" i="11"/>
  <c r="KA5" i="11" l="1"/>
  <c r="JZ6" i="11"/>
  <c r="KB5" i="11" l="1"/>
  <c r="KA6" i="11"/>
  <c r="KB6" i="11" l="1"/>
  <c r="KC5" i="11"/>
  <c r="KC4" i="11" l="1"/>
  <c r="KC6" i="11"/>
  <c r="KD5" i="11"/>
  <c r="KE5" i="11" l="1"/>
  <c r="KD6" i="11"/>
  <c r="KF5" i="11" l="1"/>
  <c r="KE6" i="11"/>
  <c r="KF6" i="11" l="1"/>
  <c r="KG5" i="11"/>
  <c r="KG6" i="11" l="1"/>
  <c r="KH5" i="11"/>
  <c r="KH6" i="11" l="1"/>
  <c r="KI5" i="11"/>
  <c r="KJ5" i="11" s="1"/>
  <c r="KJ4" i="11" l="1"/>
  <c r="KK5" i="11"/>
  <c r="KJ6" i="11"/>
  <c r="KI6" i="11"/>
  <c r="KK6" i="11" l="1"/>
  <c r="KL5" i="11"/>
  <c r="KM5" i="11" l="1"/>
  <c r="KL6" i="11"/>
  <c r="KN5" i="11" l="1"/>
  <c r="KM6" i="11"/>
  <c r="KN6" i="11" l="1"/>
  <c r="KO5" i="11"/>
  <c r="KO6" i="11" l="1"/>
  <c r="KP5" i="11"/>
  <c r="KP6" i="11" l="1"/>
  <c r="KQ5" i="11"/>
  <c r="KQ4" i="11" l="1"/>
  <c r="KR5" i="11"/>
  <c r="KQ6" i="11"/>
  <c r="KR6" i="11" l="1"/>
  <c r="KS5" i="11"/>
  <c r="KT5" i="11" l="1"/>
  <c r="KS6" i="11"/>
  <c r="KU5" i="11" l="1"/>
  <c r="KT6" i="11"/>
  <c r="KU6" i="11" l="1"/>
  <c r="KV5" i="11"/>
  <c r="KV6" i="11" l="1"/>
  <c r="KW5" i="11"/>
  <c r="KX5" i="11" l="1"/>
  <c r="KW6" i="11"/>
  <c r="KX6" i="11" l="1"/>
  <c r="KX4" i="11"/>
  <c r="KY5" i="11"/>
  <c r="KZ5" i="11" l="1"/>
  <c r="KY6" i="11"/>
  <c r="LA5" i="11" l="1"/>
  <c r="KZ6" i="11"/>
  <c r="LB5" i="11" l="1"/>
  <c r="LA6" i="11"/>
  <c r="LB6" i="11" l="1"/>
  <c r="LC5" i="11"/>
  <c r="LC6" i="11" l="1"/>
  <c r="LD5" i="11"/>
  <c r="LD6" i="11" l="1"/>
  <c r="LE5" i="11"/>
  <c r="LE4" i="11" l="1"/>
  <c r="LF5" i="11"/>
  <c r="LE6" i="11"/>
  <c r="LF6" i="11" l="1"/>
  <c r="LG5" i="11"/>
  <c r="LG6" i="11" l="1"/>
  <c r="LH5" i="11"/>
  <c r="LH6" i="11" l="1"/>
  <c r="LI5" i="11"/>
  <c r="LI6" i="11" l="1"/>
  <c r="LJ5" i="11"/>
  <c r="LJ6" i="11" l="1"/>
  <c r="LK5" i="11"/>
  <c r="LK6" i="11" l="1"/>
  <c r="LL5" i="11"/>
  <c r="LL4" i="11" l="1"/>
  <c r="LL6" i="11"/>
  <c r="LM5" i="11"/>
  <c r="LM6" i="11" l="1"/>
  <c r="LN5" i="11"/>
  <c r="LO5" i="11" l="1"/>
  <c r="LN6" i="11"/>
  <c r="LP5" i="11" l="1"/>
  <c r="LO6" i="11"/>
  <c r="LQ5" i="11" l="1"/>
  <c r="LP6" i="11"/>
  <c r="LR5" i="11" l="1"/>
  <c r="LQ6" i="11"/>
  <c r="LS5" i="11" l="1"/>
  <c r="LR6" i="11"/>
  <c r="LS6" i="11" l="1"/>
  <c r="LS4" i="11"/>
  <c r="LT5" i="11"/>
  <c r="LU5" i="11" l="1"/>
  <c r="LT6" i="11"/>
  <c r="LU6" i="11" l="1"/>
  <c r="LV5" i="11"/>
  <c r="LW5" i="11" l="1"/>
  <c r="LV6" i="11"/>
  <c r="LW6" i="11" l="1"/>
  <c r="LX5" i="11"/>
  <c r="LY5" i="11" l="1"/>
  <c r="LX6" i="11"/>
  <c r="LZ5" i="11" l="1"/>
  <c r="LY6" i="11"/>
  <c r="MA5" i="11" l="1"/>
  <c r="LZ6" i="11"/>
  <c r="LZ4" i="11"/>
  <c r="MA6" i="11" l="1"/>
  <c r="MB5" i="11"/>
  <c r="MC5" i="11" l="1"/>
  <c r="MB6" i="11"/>
  <c r="MD5" i="11" l="1"/>
  <c r="MC6" i="11"/>
  <c r="MD6" i="11" l="1"/>
  <c r="ME5" i="11"/>
  <c r="ME6" i="11" l="1"/>
  <c r="MF5" i="11"/>
  <c r="MF6" i="11" l="1"/>
  <c r="MG5" i="11"/>
  <c r="MG4" i="11" l="1"/>
  <c r="MH5" i="11"/>
  <c r="MG6" i="11"/>
  <c r="MH6" i="11" l="1"/>
  <c r="MI5" i="11"/>
  <c r="MJ5" i="11" l="1"/>
  <c r="MI6" i="11"/>
  <c r="MK5" i="11" l="1"/>
  <c r="MJ6" i="11"/>
  <c r="ML5" i="11" l="1"/>
  <c r="MK6" i="11"/>
  <c r="MM5" i="11" l="1"/>
  <c r="ML6" i="11"/>
  <c r="MM6" i="11" l="1"/>
  <c r="MN5" i="11"/>
  <c r="MN4" i="11" l="1"/>
  <c r="MO5" i="11"/>
  <c r="MN6" i="11"/>
  <c r="MO6" i="11" l="1"/>
  <c r="MP5" i="11"/>
  <c r="MP6" i="11" l="1"/>
  <c r="MQ5" i="11"/>
  <c r="MQ6" i="11" l="1"/>
  <c r="MR5" i="11"/>
  <c r="MS5" i="11" l="1"/>
  <c r="MR6" i="11"/>
  <c r="MT5" i="11" l="1"/>
  <c r="MS6" i="11"/>
  <c r="MT6" i="11" l="1"/>
  <c r="MU5" i="11"/>
  <c r="MU6" i="11" l="1"/>
  <c r="MU4" i="11"/>
  <c r="MV5" i="11"/>
  <c r="MW5" i="11" l="1"/>
  <c r="MV6" i="11"/>
  <c r="MX5" i="11" l="1"/>
  <c r="MW6" i="11"/>
  <c r="MX6" i="11" l="1"/>
  <c r="MY5" i="11"/>
  <c r="MZ5" i="11" l="1"/>
  <c r="MY6" i="11"/>
  <c r="NA5" i="11" l="1"/>
  <c r="NA6" i="11" s="1"/>
  <c r="MZ6" i="11"/>
</calcChain>
</file>

<file path=xl/sharedStrings.xml><?xml version="1.0" encoding="utf-8"?>
<sst xmlns="http://schemas.openxmlformats.org/spreadsheetml/2006/main" count="100" uniqueCount="71">
  <si>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</si>
  <si>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Duck Finder App</t>
  </si>
  <si>
    <t>Enter Company Name in cell B2.</t>
  </si>
  <si>
    <t>By: Liam, Marcus</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</si>
  <si>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</si>
  <si>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</si>
  <si>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</si>
  <si>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</si>
  <si>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</si>
  <si>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</si>
  <si>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</si>
  <si>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</si>
  <si>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</si>
  <si>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</si>
  <si>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</si>
  <si>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</si>
  <si>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</si>
  <si>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</si>
  <si>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Capstone 1</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</si>
  <si>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</si>
  <si>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Topic &amp; Team Submission Form</t>
  </si>
  <si>
    <t>Marcus &amp; Liam</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</si>
  <si>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</si>
  <si>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Initial Topic Research</t>
  </si>
  <si>
    <t>Marcus</t>
  </si>
  <si>
    <t>Liam</t>
  </si>
  <si>
    <t>Draft Proposal (Outlay + Intro</t>
  </si>
  <si>
    <t>Draft Proposal Proofreading</t>
  </si>
  <si>
    <t>Work on Presentation</t>
  </si>
  <si>
    <t>Proof Read Presentaion</t>
  </si>
  <si>
    <t>Present Presentation</t>
  </si>
  <si>
    <t>Work on Proposal (Cont)</t>
  </si>
  <si>
    <t>Proof Read Proposal</t>
  </si>
  <si>
    <t>Hand in Prosposal</t>
  </si>
  <si>
    <t>End of Classes</t>
  </si>
  <si>
    <t>Capstone 2</t>
  </si>
  <si>
    <t>Marcus  &amp; Liam</t>
  </si>
  <si>
    <t>Make GitHub</t>
  </si>
  <si>
    <t>Plan Agile Development Cycle</t>
  </si>
  <si>
    <t>App Research/Learning Code (Swift, X)</t>
  </si>
  <si>
    <t>Leaning Code (Swift, X)</t>
  </si>
  <si>
    <t xml:space="preserve">Collecting Duck Photos </t>
  </si>
  <si>
    <t xml:space="preserve">Marcus </t>
  </si>
  <si>
    <t>Completing Report Draft</t>
  </si>
  <si>
    <t>Sprint 1</t>
  </si>
  <si>
    <t>Leaning More Targeted Code (Swift, X)</t>
  </si>
  <si>
    <t>Using Machine Learning With Xcode</t>
  </si>
  <si>
    <t>Sprint 2</t>
  </si>
  <si>
    <t>Creating the App</t>
  </si>
  <si>
    <t>Testing/Adjusting App (Sprint 3)</t>
  </si>
  <si>
    <t>Finalizaing App (Sprint 3)</t>
  </si>
  <si>
    <t>Finish Technical Report</t>
  </si>
  <si>
    <t>Proof Read Report</t>
  </si>
  <si>
    <t>This is an empty row</t>
  </si>
  <si>
    <t>Complete Presentation</t>
  </si>
  <si>
    <t>Insert new rows ABOVE this one</t>
  </si>
  <si>
    <t>SIMPLE GANTT CHART by Vertex42.com</t>
  </si>
  <si>
    <t>https://www.vertex42.com/ExcelTemplates/simple-gantt-chart.html</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</si>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</sst>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409]d/mmm/yy;@"/>
  </numFmts>
  <fonts count="24"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8"/>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5" tint="0.59999389629810485"/>
        <bgColor indexed="64"/>
      </patternFill>
    </fill>
    <fill>
      <patternFill patternType="solid">
        <fgColor theme="5" tint="0.79998168889431442"/>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79">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167" fontId="11" fillId="4" borderId="0" xfId="0" applyNumberFormat="1" applyFont="1" applyFill="1" applyAlignment="1">
      <alignment horizontal="center" vertical="center"/>
    </xf>
    <xf numFmtId="167" fontId="11" fillId="4" borderId="6" xfId="0" applyNumberFormat="1" applyFont="1" applyFill="1" applyBorder="1" applyAlignment="1">
      <alignment horizontal="center" vertical="center"/>
    </xf>
    <xf numFmtId="167" fontId="11" fillId="4" borderId="7" xfId="0" applyNumberFormat="1" applyFont="1" applyFill="1" applyBorder="1" applyAlignment="1">
      <alignment horizontal="center" vertical="center"/>
    </xf>
    <xf numFmtId="0" fontId="12" fillId="6"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0" borderId="2" xfId="10">
      <alignment horizontal="center" vertical="center"/>
    </xf>
    <xf numFmtId="0" fontId="9" fillId="5" borderId="2" xfId="11" applyFill="1">
      <alignment horizontal="center" vertical="center"/>
    </xf>
    <xf numFmtId="0" fontId="9" fillId="3" borderId="2" xfId="11" applyFill="1">
      <alignment horizontal="center" vertical="center"/>
    </xf>
    <xf numFmtId="0" fontId="9" fillId="0" borderId="2" xfId="11">
      <alignment horizontal="center" vertical="center"/>
    </xf>
    <xf numFmtId="0" fontId="9" fillId="0" borderId="2" xfId="12">
      <alignment horizontal="left" vertical="center" indent="2"/>
    </xf>
    <xf numFmtId="168" fontId="9" fillId="3" borderId="2" xfId="10" applyNumberFormat="1" applyFill="1">
      <alignment horizontal="center" vertical="center"/>
    </xf>
    <xf numFmtId="0" fontId="0" fillId="3" borderId="2" xfId="11" applyFont="1" applyFill="1" applyAlignment="1">
      <alignment horizontal="center" vertical="center" wrapText="1"/>
    </xf>
    <xf numFmtId="0" fontId="0" fillId="3" borderId="2" xfId="11" applyFont="1" applyFill="1">
      <alignment horizontal="center" vertical="center"/>
    </xf>
    <xf numFmtId="168" fontId="0" fillId="3" borderId="2" xfId="10" applyNumberFormat="1" applyFont="1" applyFill="1">
      <alignment horizontal="center" vertical="center"/>
    </xf>
    <xf numFmtId="0" fontId="9" fillId="3" borderId="2" xfId="12" applyFill="1" applyAlignment="1">
      <alignment horizontal="left" vertical="center" wrapText="1"/>
    </xf>
    <xf numFmtId="0" fontId="9" fillId="3" borderId="2" xfId="12" applyFill="1" applyAlignment="1">
      <alignment horizontal="left" vertical="center"/>
    </xf>
    <xf numFmtId="0" fontId="9" fillId="3" borderId="2" xfId="12" applyFill="1" applyAlignment="1">
      <alignment vertical="center"/>
    </xf>
    <xf numFmtId="0" fontId="9" fillId="8" borderId="2" xfId="11" applyFill="1">
      <alignment horizontal="center" vertical="center"/>
    </xf>
    <xf numFmtId="9" fontId="5" fillId="8" borderId="2" xfId="2" applyFont="1" applyFill="1" applyBorder="1" applyAlignment="1">
      <alignment horizontal="center" vertical="center"/>
    </xf>
    <xf numFmtId="168" fontId="9" fillId="8" borderId="2" xfId="10" applyNumberFormat="1" applyFill="1">
      <alignment horizontal="center" vertical="center"/>
    </xf>
    <xf numFmtId="0" fontId="6" fillId="5" borderId="2" xfId="0" applyFont="1" applyFill="1" applyBorder="1" applyAlignment="1">
      <alignment horizontal="left" vertical="center"/>
    </xf>
    <xf numFmtId="0" fontId="6" fillId="8" borderId="2" xfId="12" applyFont="1" applyFill="1" applyAlignment="1">
      <alignment horizontal="left" vertical="center"/>
    </xf>
    <xf numFmtId="0" fontId="5" fillId="9" borderId="2" xfId="11" applyFont="1" applyFill="1">
      <alignment horizontal="center" vertical="center"/>
    </xf>
    <xf numFmtId="9" fontId="5" fillId="9" borderId="2" xfId="2" applyFont="1" applyFill="1" applyBorder="1" applyAlignment="1">
      <alignment horizontal="center" vertical="center"/>
    </xf>
    <xf numFmtId="168" fontId="5" fillId="9" borderId="2" xfId="10" applyNumberFormat="1" applyFont="1" applyFill="1">
      <alignment horizontal="center" vertical="center"/>
    </xf>
    <xf numFmtId="0" fontId="5" fillId="9" borderId="2" xfId="12" applyFont="1" applyFill="1" applyAlignment="1">
      <alignment horizontal="left" vertical="center"/>
    </xf>
    <xf numFmtId="0" fontId="5" fillId="9" borderId="2" xfId="12" applyFont="1" applyFill="1" applyAlignment="1">
      <alignment horizontal="left" vertical="center" wrapText="1"/>
    </xf>
    <xf numFmtId="0" fontId="0" fillId="2" borderId="0" xfId="0" applyFill="1" applyAlignment="1">
      <alignment vertical="center"/>
    </xf>
    <xf numFmtId="166" fontId="0" fillId="4" borderId="4" xfId="0" applyNumberFormat="1" applyFill="1" applyBorder="1" applyAlignment="1">
      <alignment horizontal="left" vertical="center" wrapText="1" indent="1"/>
    </xf>
    <xf numFmtId="166" fontId="0" fillId="4" borderId="1" xfId="0" applyNumberFormat="1" applyFill="1" applyBorder="1" applyAlignment="1">
      <alignment horizontal="left" vertical="center" wrapText="1" indent="1"/>
    </xf>
    <xf numFmtId="166" fontId="0" fillId="4" borderId="5" xfId="0" applyNumberFormat="1" applyFill="1" applyBorder="1" applyAlignment="1">
      <alignment horizontal="left" vertical="center" wrapText="1" indent="1"/>
    </xf>
    <xf numFmtId="168" fontId="9" fillId="0" borderId="3" xfId="9" applyNumberFormat="1">
      <alignment horizontal="center" vertical="center"/>
    </xf>
    <xf numFmtId="0" fontId="9" fillId="0" borderId="0" xfId="8">
      <alignment horizontal="right" indent="1"/>
    </xf>
    <xf numFmtId="0" fontId="9" fillId="0" borderId="7" xfId="8" applyBorder="1">
      <alignment horizontal="right" indent="1"/>
    </xf>
    <xf numFmtId="0" fontId="0" fillId="0" borderId="10" xfId="0" applyBorder="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2">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secondRowStripe" dxfId="15"/>
      <tableStyleElement type="firstColumnStripe" dxfId="14"/>
      <tableStyleElement type="secondColumnStripe"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A45"/>
  <sheetViews>
    <sheetView showGridLines="0" tabSelected="1" showRuler="0" zoomScale="85" zoomScaleNormal="85" zoomScalePageLayoutView="70" workbookViewId="0">
      <pane ySplit="6" topLeftCell="A20" activePane="bottomLeft" state="frozen"/>
      <selection pane="bottomLeft" activeCell="D34" sqref="D34"/>
    </sheetView>
  </sheetViews>
  <sheetFormatPr defaultRowHeight="30" customHeight="1" x14ac:dyDescent="0.25"/>
  <cols>
    <col min="1" max="1" width="2.7109375" style="41" customWidth="1"/>
    <col min="2" max="2" width="36.5703125" bestFit="1" customWidth="1"/>
    <col min="3" max="3" width="14.5703125" bestFit="1" customWidth="1"/>
    <col min="4" max="4" width="10.7109375" customWidth="1"/>
    <col min="5" max="5" width="10.42578125" style="5" customWidth="1"/>
    <col min="6" max="6" width="10.42578125" customWidth="1"/>
    <col min="7" max="7" width="3.85546875" customWidth="1"/>
    <col min="8" max="8" width="7.42578125" bestFit="1" customWidth="1"/>
    <col min="9" max="365" width="3.140625" customWidth="1"/>
  </cols>
  <sheetData>
    <row r="1" spans="1:365" ht="30" customHeight="1" x14ac:dyDescent="0.45">
      <c r="A1" s="42" t="s">
        <v>0</v>
      </c>
      <c r="B1" s="46" t="s">
        <v>1</v>
      </c>
      <c r="C1" s="1"/>
      <c r="D1" s="2"/>
      <c r="E1" s="4"/>
      <c r="F1" s="30"/>
      <c r="H1" s="2"/>
      <c r="I1" s="14"/>
    </row>
    <row r="2" spans="1:365" ht="30" customHeight="1" x14ac:dyDescent="0.3">
      <c r="A2" s="41" t="s">
        <v>2</v>
      </c>
      <c r="B2" s="47" t="s">
        <v>3</v>
      </c>
      <c r="I2" s="44"/>
    </row>
    <row r="3" spans="1:365" ht="30" customHeight="1" x14ac:dyDescent="0.25">
      <c r="A3" s="41" t="s">
        <v>4</v>
      </c>
      <c r="B3" s="48"/>
      <c r="C3" s="76" t="s">
        <v>5</v>
      </c>
      <c r="D3" s="77"/>
      <c r="E3" s="75">
        <v>45909</v>
      </c>
      <c r="F3" s="75"/>
    </row>
    <row r="4" spans="1:365" ht="30" customHeight="1" x14ac:dyDescent="0.25">
      <c r="A4" s="42" t="s">
        <v>6</v>
      </c>
      <c r="C4" s="76" t="s">
        <v>7</v>
      </c>
      <c r="D4" s="77"/>
      <c r="E4" s="7">
        <v>36</v>
      </c>
      <c r="I4" s="72">
        <f>I5</f>
        <v>46153</v>
      </c>
      <c r="J4" s="73"/>
      <c r="K4" s="73"/>
      <c r="L4" s="73"/>
      <c r="M4" s="73"/>
      <c r="N4" s="73"/>
      <c r="O4" s="74"/>
      <c r="P4" s="72">
        <f>P5</f>
        <v>46160</v>
      </c>
      <c r="Q4" s="73"/>
      <c r="R4" s="73"/>
      <c r="S4" s="73"/>
      <c r="T4" s="73"/>
      <c r="U4" s="73"/>
      <c r="V4" s="74"/>
      <c r="W4" s="72">
        <f>W5</f>
        <v>46167</v>
      </c>
      <c r="X4" s="73"/>
      <c r="Y4" s="73"/>
      <c r="Z4" s="73"/>
      <c r="AA4" s="73"/>
      <c r="AB4" s="73"/>
      <c r="AC4" s="74"/>
      <c r="AD4" s="72">
        <f>AD5</f>
        <v>46174</v>
      </c>
      <c r="AE4" s="73"/>
      <c r="AF4" s="73"/>
      <c r="AG4" s="73"/>
      <c r="AH4" s="73"/>
      <c r="AI4" s="73"/>
      <c r="AJ4" s="74"/>
      <c r="AK4" s="72">
        <f>AK5</f>
        <v>46181</v>
      </c>
      <c r="AL4" s="73"/>
      <c r="AM4" s="73"/>
      <c r="AN4" s="73"/>
      <c r="AO4" s="73"/>
      <c r="AP4" s="73"/>
      <c r="AQ4" s="74"/>
      <c r="AR4" s="72">
        <f>AR5</f>
        <v>46188</v>
      </c>
      <c r="AS4" s="73"/>
      <c r="AT4" s="73"/>
      <c r="AU4" s="73"/>
      <c r="AV4" s="73"/>
      <c r="AW4" s="73"/>
      <c r="AX4" s="74"/>
      <c r="AY4" s="72">
        <f>AY5</f>
        <v>46195</v>
      </c>
      <c r="AZ4" s="73"/>
      <c r="BA4" s="73"/>
      <c r="BB4" s="73"/>
      <c r="BC4" s="73"/>
      <c r="BD4" s="73"/>
      <c r="BE4" s="74"/>
      <c r="BF4" s="72">
        <f>BF5</f>
        <v>46202</v>
      </c>
      <c r="BG4" s="73"/>
      <c r="BH4" s="73"/>
      <c r="BI4" s="73"/>
      <c r="BJ4" s="73"/>
      <c r="BK4" s="73"/>
      <c r="BL4" s="74"/>
      <c r="BM4" s="72">
        <f>BM5</f>
        <v>46209</v>
      </c>
      <c r="BN4" s="73"/>
      <c r="BO4" s="73"/>
      <c r="BP4" s="73"/>
      <c r="BQ4" s="73"/>
      <c r="BR4" s="73"/>
      <c r="BS4" s="74"/>
      <c r="BT4" s="72">
        <f>BT5</f>
        <v>46216</v>
      </c>
      <c r="BU4" s="73"/>
      <c r="BV4" s="73"/>
      <c r="BW4" s="73"/>
      <c r="BX4" s="73"/>
      <c r="BY4" s="73"/>
      <c r="BZ4" s="74"/>
      <c r="CA4" s="72">
        <f t="shared" ref="CA4" si="0">CA5</f>
        <v>46223</v>
      </c>
      <c r="CB4" s="73"/>
      <c r="CC4" s="73"/>
      <c r="CD4" s="73"/>
      <c r="CE4" s="73"/>
      <c r="CF4" s="73"/>
      <c r="CG4" s="74"/>
      <c r="CH4" s="72">
        <f t="shared" ref="CH4" si="1">CH5</f>
        <v>46230</v>
      </c>
      <c r="CI4" s="73"/>
      <c r="CJ4" s="73"/>
      <c r="CK4" s="73"/>
      <c r="CL4" s="73"/>
      <c r="CM4" s="73"/>
      <c r="CN4" s="74"/>
      <c r="CO4" s="72">
        <f t="shared" ref="CO4" si="2">CO5</f>
        <v>46237</v>
      </c>
      <c r="CP4" s="73"/>
      <c r="CQ4" s="73"/>
      <c r="CR4" s="73"/>
      <c r="CS4" s="73"/>
      <c r="CT4" s="73"/>
      <c r="CU4" s="74"/>
      <c r="CV4" s="72">
        <f t="shared" ref="CV4" si="3">CV5</f>
        <v>46244</v>
      </c>
      <c r="CW4" s="73"/>
      <c r="CX4" s="73"/>
      <c r="CY4" s="73"/>
      <c r="CZ4" s="73"/>
      <c r="DA4" s="73"/>
      <c r="DB4" s="74"/>
      <c r="DC4" s="72">
        <f t="shared" ref="DC4" si="4">DC5</f>
        <v>46251</v>
      </c>
      <c r="DD4" s="73"/>
      <c r="DE4" s="73"/>
      <c r="DF4" s="73"/>
      <c r="DG4" s="73"/>
      <c r="DH4" s="73"/>
      <c r="DI4" s="74"/>
      <c r="DJ4" s="72">
        <f t="shared" ref="DJ4" si="5">DJ5</f>
        <v>46258</v>
      </c>
      <c r="DK4" s="73"/>
      <c r="DL4" s="73"/>
      <c r="DM4" s="73"/>
      <c r="DN4" s="73"/>
      <c r="DO4" s="73"/>
      <c r="DP4" s="74"/>
      <c r="DQ4" s="72">
        <f t="shared" ref="DQ4" si="6">DQ5</f>
        <v>46265</v>
      </c>
      <c r="DR4" s="73"/>
      <c r="DS4" s="73"/>
      <c r="DT4" s="73"/>
      <c r="DU4" s="73"/>
      <c r="DV4" s="73"/>
      <c r="DW4" s="74"/>
      <c r="DX4" s="72">
        <f t="shared" ref="DX4" si="7">DX5</f>
        <v>46272</v>
      </c>
      <c r="DY4" s="73"/>
      <c r="DZ4" s="73"/>
      <c r="EA4" s="73"/>
      <c r="EB4" s="73"/>
      <c r="EC4" s="73"/>
      <c r="ED4" s="74"/>
      <c r="EE4" s="72">
        <f t="shared" ref="EE4" si="8">EE5</f>
        <v>46279</v>
      </c>
      <c r="EF4" s="73"/>
      <c r="EG4" s="73"/>
      <c r="EH4" s="73"/>
      <c r="EI4" s="73"/>
      <c r="EJ4" s="73"/>
      <c r="EK4" s="74"/>
      <c r="EL4" s="72">
        <f t="shared" ref="EL4" si="9">EL5</f>
        <v>46286</v>
      </c>
      <c r="EM4" s="73"/>
      <c r="EN4" s="73"/>
      <c r="EO4" s="73"/>
      <c r="EP4" s="73"/>
      <c r="EQ4" s="73"/>
      <c r="ER4" s="74"/>
      <c r="ES4" s="72">
        <f t="shared" ref="ES4" si="10">ES5</f>
        <v>46293</v>
      </c>
      <c r="ET4" s="73"/>
      <c r="EU4" s="73"/>
      <c r="EV4" s="73"/>
      <c r="EW4" s="73"/>
      <c r="EX4" s="73"/>
      <c r="EY4" s="74"/>
      <c r="EZ4" s="72">
        <f t="shared" ref="EZ4" si="11">EZ5</f>
        <v>46300</v>
      </c>
      <c r="FA4" s="73"/>
      <c r="FB4" s="73"/>
      <c r="FC4" s="73"/>
      <c r="FD4" s="73"/>
      <c r="FE4" s="73"/>
      <c r="FF4" s="74"/>
      <c r="FG4" s="72">
        <f t="shared" ref="FG4" si="12">FG5</f>
        <v>46307</v>
      </c>
      <c r="FH4" s="73"/>
      <c r="FI4" s="73"/>
      <c r="FJ4" s="73"/>
      <c r="FK4" s="73"/>
      <c r="FL4" s="73"/>
      <c r="FM4" s="74"/>
      <c r="FN4" s="72">
        <f t="shared" ref="FN4" si="13">FN5</f>
        <v>46314</v>
      </c>
      <c r="FO4" s="73"/>
      <c r="FP4" s="73"/>
      <c r="FQ4" s="73"/>
      <c r="FR4" s="73"/>
      <c r="FS4" s="73"/>
      <c r="FT4" s="74"/>
      <c r="FU4" s="72">
        <f t="shared" ref="FU4" si="14">FU5</f>
        <v>46321</v>
      </c>
      <c r="FV4" s="73"/>
      <c r="FW4" s="73"/>
      <c r="FX4" s="73"/>
      <c r="FY4" s="73"/>
      <c r="FZ4" s="73"/>
      <c r="GA4" s="74"/>
      <c r="GB4" s="72">
        <f t="shared" ref="GB4" si="15">GB5</f>
        <v>46328</v>
      </c>
      <c r="GC4" s="73"/>
      <c r="GD4" s="73"/>
      <c r="GE4" s="73"/>
      <c r="GF4" s="73"/>
      <c r="GG4" s="73"/>
      <c r="GH4" s="74"/>
      <c r="GI4" s="72">
        <f t="shared" ref="GI4" si="16">GI5</f>
        <v>46335</v>
      </c>
      <c r="GJ4" s="73"/>
      <c r="GK4" s="73"/>
      <c r="GL4" s="73"/>
      <c r="GM4" s="73"/>
      <c r="GN4" s="73"/>
      <c r="GO4" s="74"/>
      <c r="GP4" s="72">
        <f t="shared" ref="GP4" si="17">GP5</f>
        <v>46342</v>
      </c>
      <c r="GQ4" s="73"/>
      <c r="GR4" s="73"/>
      <c r="GS4" s="73"/>
      <c r="GT4" s="73"/>
      <c r="GU4" s="73"/>
      <c r="GV4" s="74"/>
      <c r="GW4" s="72">
        <f t="shared" ref="GW4" si="18">GW5</f>
        <v>46349</v>
      </c>
      <c r="GX4" s="73"/>
      <c r="GY4" s="73"/>
      <c r="GZ4" s="73"/>
      <c r="HA4" s="73"/>
      <c r="HB4" s="73"/>
      <c r="HC4" s="74"/>
      <c r="HD4" s="72">
        <f t="shared" ref="HD4" si="19">HD5</f>
        <v>46356</v>
      </c>
      <c r="HE4" s="73"/>
      <c r="HF4" s="73"/>
      <c r="HG4" s="73"/>
      <c r="HH4" s="73"/>
      <c r="HI4" s="73"/>
      <c r="HJ4" s="74"/>
      <c r="HK4" s="72">
        <f t="shared" ref="HK4" si="20">HK5</f>
        <v>46363</v>
      </c>
      <c r="HL4" s="73"/>
      <c r="HM4" s="73"/>
      <c r="HN4" s="73"/>
      <c r="HO4" s="73"/>
      <c r="HP4" s="73"/>
      <c r="HQ4" s="74"/>
      <c r="HR4" s="72">
        <f t="shared" ref="HR4" si="21">HR5</f>
        <v>46370</v>
      </c>
      <c r="HS4" s="73"/>
      <c r="HT4" s="73"/>
      <c r="HU4" s="73"/>
      <c r="HV4" s="73"/>
      <c r="HW4" s="73"/>
      <c r="HX4" s="74"/>
      <c r="HY4" s="72">
        <f t="shared" ref="HY4" si="22">HY5</f>
        <v>46377</v>
      </c>
      <c r="HZ4" s="73"/>
      <c r="IA4" s="73"/>
      <c r="IB4" s="73"/>
      <c r="IC4" s="73"/>
      <c r="ID4" s="73"/>
      <c r="IE4" s="74"/>
      <c r="IF4" s="72">
        <f t="shared" ref="IF4" si="23">IF5</f>
        <v>46384</v>
      </c>
      <c r="IG4" s="73"/>
      <c r="IH4" s="73"/>
      <c r="II4" s="73"/>
      <c r="IJ4" s="73"/>
      <c r="IK4" s="73"/>
      <c r="IL4" s="74"/>
      <c r="IM4" s="72">
        <f t="shared" ref="IM4" si="24">IM5</f>
        <v>46391</v>
      </c>
      <c r="IN4" s="73"/>
      <c r="IO4" s="73"/>
      <c r="IP4" s="73"/>
      <c r="IQ4" s="73"/>
      <c r="IR4" s="73"/>
      <c r="IS4" s="74"/>
      <c r="IT4" s="72">
        <f t="shared" ref="IT4" si="25">IT5</f>
        <v>46398</v>
      </c>
      <c r="IU4" s="73"/>
      <c r="IV4" s="73"/>
      <c r="IW4" s="73"/>
      <c r="IX4" s="73"/>
      <c r="IY4" s="73"/>
      <c r="IZ4" s="74"/>
      <c r="JA4" s="72">
        <f t="shared" ref="JA4" si="26">JA5</f>
        <v>46405</v>
      </c>
      <c r="JB4" s="73"/>
      <c r="JC4" s="73"/>
      <c r="JD4" s="73"/>
      <c r="JE4" s="73"/>
      <c r="JF4" s="73"/>
      <c r="JG4" s="74"/>
      <c r="JH4" s="72">
        <f t="shared" ref="JH4" si="27">JH5</f>
        <v>46412</v>
      </c>
      <c r="JI4" s="73"/>
      <c r="JJ4" s="73"/>
      <c r="JK4" s="73"/>
      <c r="JL4" s="73"/>
      <c r="JM4" s="73"/>
      <c r="JN4" s="74"/>
      <c r="JO4" s="72">
        <f t="shared" ref="JO4" si="28">JO5</f>
        <v>46419</v>
      </c>
      <c r="JP4" s="73"/>
      <c r="JQ4" s="73"/>
      <c r="JR4" s="73"/>
      <c r="JS4" s="73"/>
      <c r="JT4" s="73"/>
      <c r="JU4" s="74"/>
      <c r="JV4" s="72">
        <f t="shared" ref="JV4" si="29">JV5</f>
        <v>46426</v>
      </c>
      <c r="JW4" s="73"/>
      <c r="JX4" s="73"/>
      <c r="JY4" s="73"/>
      <c r="JZ4" s="73"/>
      <c r="KA4" s="73"/>
      <c r="KB4" s="74"/>
      <c r="KC4" s="72">
        <f t="shared" ref="KC4" si="30">KC5</f>
        <v>46433</v>
      </c>
      <c r="KD4" s="73"/>
      <c r="KE4" s="73"/>
      <c r="KF4" s="73"/>
      <c r="KG4" s="73"/>
      <c r="KH4" s="73"/>
      <c r="KI4" s="74"/>
      <c r="KJ4" s="72">
        <f t="shared" ref="KJ4" si="31">KJ5</f>
        <v>46440</v>
      </c>
      <c r="KK4" s="73"/>
      <c r="KL4" s="73"/>
      <c r="KM4" s="73"/>
      <c r="KN4" s="73"/>
      <c r="KO4" s="73"/>
      <c r="KP4" s="74"/>
      <c r="KQ4" s="72">
        <f t="shared" ref="KQ4" si="32">KQ5</f>
        <v>46447</v>
      </c>
      <c r="KR4" s="73"/>
      <c r="KS4" s="73"/>
      <c r="KT4" s="73"/>
      <c r="KU4" s="73"/>
      <c r="KV4" s="73"/>
      <c r="KW4" s="74"/>
      <c r="KX4" s="72">
        <f t="shared" ref="KX4" si="33">KX5</f>
        <v>46454</v>
      </c>
      <c r="KY4" s="73"/>
      <c r="KZ4" s="73"/>
      <c r="LA4" s="73"/>
      <c r="LB4" s="73"/>
      <c r="LC4" s="73"/>
      <c r="LD4" s="74"/>
      <c r="LE4" s="72">
        <f t="shared" ref="LE4" si="34">LE5</f>
        <v>46461</v>
      </c>
      <c r="LF4" s="73"/>
      <c r="LG4" s="73"/>
      <c r="LH4" s="73"/>
      <c r="LI4" s="73"/>
      <c r="LJ4" s="73"/>
      <c r="LK4" s="74"/>
      <c r="LL4" s="72">
        <f t="shared" ref="LL4" si="35">LL5</f>
        <v>46468</v>
      </c>
      <c r="LM4" s="73"/>
      <c r="LN4" s="73"/>
      <c r="LO4" s="73"/>
      <c r="LP4" s="73"/>
      <c r="LQ4" s="73"/>
      <c r="LR4" s="74"/>
      <c r="LS4" s="72">
        <f t="shared" ref="LS4" si="36">LS5</f>
        <v>46475</v>
      </c>
      <c r="LT4" s="73"/>
      <c r="LU4" s="73"/>
      <c r="LV4" s="73"/>
      <c r="LW4" s="73"/>
      <c r="LX4" s="73"/>
      <c r="LY4" s="74"/>
      <c r="LZ4" s="72">
        <f t="shared" ref="LZ4" si="37">LZ5</f>
        <v>46482</v>
      </c>
      <c r="MA4" s="73"/>
      <c r="MB4" s="73"/>
      <c r="MC4" s="73"/>
      <c r="MD4" s="73"/>
      <c r="ME4" s="73"/>
      <c r="MF4" s="74"/>
      <c r="MG4" s="72">
        <f t="shared" ref="MG4" si="38">MG5</f>
        <v>46489</v>
      </c>
      <c r="MH4" s="73"/>
      <c r="MI4" s="73"/>
      <c r="MJ4" s="73"/>
      <c r="MK4" s="73"/>
      <c r="ML4" s="73"/>
      <c r="MM4" s="74"/>
      <c r="MN4" s="72">
        <f t="shared" ref="MN4" si="39">MN5</f>
        <v>46496</v>
      </c>
      <c r="MO4" s="73"/>
      <c r="MP4" s="73"/>
      <c r="MQ4" s="73"/>
      <c r="MR4" s="73"/>
      <c r="MS4" s="73"/>
      <c r="MT4" s="74"/>
      <c r="MU4" s="72">
        <f t="shared" ref="MU4" si="40">MU5</f>
        <v>46503</v>
      </c>
      <c r="MV4" s="73"/>
      <c r="MW4" s="73"/>
      <c r="MX4" s="73"/>
      <c r="MY4" s="73"/>
      <c r="MZ4" s="73"/>
      <c r="NA4" s="74"/>
    </row>
    <row r="5" spans="1:365" ht="15" customHeight="1" x14ac:dyDescent="0.25">
      <c r="A5" s="42" t="s">
        <v>8</v>
      </c>
      <c r="B5" s="78"/>
      <c r="C5" s="78"/>
      <c r="D5" s="78"/>
      <c r="E5" s="78"/>
      <c r="F5" s="78"/>
      <c r="G5" s="78"/>
      <c r="I5" s="11">
        <f>Project_Start-WEEKDAY(Project_Start,1)+2+7*(Display_Week-1)</f>
        <v>46153</v>
      </c>
      <c r="J5" s="10">
        <f>I5+1</f>
        <v>46154</v>
      </c>
      <c r="K5" s="10">
        <f t="shared" ref="K5:AX5" si="41">J5+1</f>
        <v>46155</v>
      </c>
      <c r="L5" s="10">
        <f t="shared" si="41"/>
        <v>46156</v>
      </c>
      <c r="M5" s="10">
        <f t="shared" si="41"/>
        <v>46157</v>
      </c>
      <c r="N5" s="10">
        <f t="shared" si="41"/>
        <v>46158</v>
      </c>
      <c r="O5" s="12">
        <f t="shared" si="41"/>
        <v>46159</v>
      </c>
      <c r="P5" s="11">
        <f>O5+1</f>
        <v>46160</v>
      </c>
      <c r="Q5" s="10">
        <f>P5+1</f>
        <v>46161</v>
      </c>
      <c r="R5" s="10">
        <f t="shared" si="41"/>
        <v>46162</v>
      </c>
      <c r="S5" s="10">
        <f t="shared" si="41"/>
        <v>46163</v>
      </c>
      <c r="T5" s="10">
        <f t="shared" si="41"/>
        <v>46164</v>
      </c>
      <c r="U5" s="10">
        <f t="shared" si="41"/>
        <v>46165</v>
      </c>
      <c r="V5" s="12">
        <f t="shared" si="41"/>
        <v>46166</v>
      </c>
      <c r="W5" s="11">
        <f>V5+1</f>
        <v>46167</v>
      </c>
      <c r="X5" s="10">
        <f>W5+1</f>
        <v>46168</v>
      </c>
      <c r="Y5" s="10">
        <f t="shared" si="41"/>
        <v>46169</v>
      </c>
      <c r="Z5" s="10">
        <f t="shared" si="41"/>
        <v>46170</v>
      </c>
      <c r="AA5" s="10">
        <f t="shared" si="41"/>
        <v>46171</v>
      </c>
      <c r="AB5" s="10">
        <f t="shared" si="41"/>
        <v>46172</v>
      </c>
      <c r="AC5" s="12">
        <f t="shared" si="41"/>
        <v>46173</v>
      </c>
      <c r="AD5" s="11">
        <f>AC5+1</f>
        <v>46174</v>
      </c>
      <c r="AE5" s="10">
        <f>AD5+1</f>
        <v>46175</v>
      </c>
      <c r="AF5" s="10">
        <f t="shared" si="41"/>
        <v>46176</v>
      </c>
      <c r="AG5" s="10">
        <f t="shared" si="41"/>
        <v>46177</v>
      </c>
      <c r="AH5" s="10">
        <f t="shared" si="41"/>
        <v>46178</v>
      </c>
      <c r="AI5" s="10">
        <f t="shared" si="41"/>
        <v>46179</v>
      </c>
      <c r="AJ5" s="12">
        <f t="shared" si="41"/>
        <v>46180</v>
      </c>
      <c r="AK5" s="11">
        <f>AJ5+1</f>
        <v>46181</v>
      </c>
      <c r="AL5" s="10">
        <f>AK5+1</f>
        <v>46182</v>
      </c>
      <c r="AM5" s="10">
        <f t="shared" si="41"/>
        <v>46183</v>
      </c>
      <c r="AN5" s="10">
        <f t="shared" si="41"/>
        <v>46184</v>
      </c>
      <c r="AO5" s="10">
        <f t="shared" si="41"/>
        <v>46185</v>
      </c>
      <c r="AP5" s="10">
        <f t="shared" si="41"/>
        <v>46186</v>
      </c>
      <c r="AQ5" s="12">
        <f t="shared" si="41"/>
        <v>46187</v>
      </c>
      <c r="AR5" s="11">
        <f>AQ5+1</f>
        <v>46188</v>
      </c>
      <c r="AS5" s="10">
        <f>AR5+1</f>
        <v>46189</v>
      </c>
      <c r="AT5" s="10">
        <f t="shared" si="41"/>
        <v>46190</v>
      </c>
      <c r="AU5" s="10">
        <f t="shared" si="41"/>
        <v>46191</v>
      </c>
      <c r="AV5" s="10">
        <f t="shared" si="41"/>
        <v>46192</v>
      </c>
      <c r="AW5" s="10">
        <f t="shared" si="41"/>
        <v>46193</v>
      </c>
      <c r="AX5" s="12">
        <f t="shared" si="41"/>
        <v>46194</v>
      </c>
      <c r="AY5" s="11">
        <f>AX5+1</f>
        <v>46195</v>
      </c>
      <c r="AZ5" s="10">
        <f>AY5+1</f>
        <v>46196</v>
      </c>
      <c r="BA5" s="10">
        <f t="shared" ref="BA5:BE5" si="42">AZ5+1</f>
        <v>46197</v>
      </c>
      <c r="BB5" s="10">
        <f t="shared" si="42"/>
        <v>46198</v>
      </c>
      <c r="BC5" s="10">
        <f t="shared" si="42"/>
        <v>46199</v>
      </c>
      <c r="BD5" s="10">
        <f t="shared" si="42"/>
        <v>46200</v>
      </c>
      <c r="BE5" s="12">
        <f t="shared" si="42"/>
        <v>46201</v>
      </c>
      <c r="BF5" s="11">
        <f>BE5+1</f>
        <v>46202</v>
      </c>
      <c r="BG5" s="10">
        <f>BF5+1</f>
        <v>46203</v>
      </c>
      <c r="BH5" s="10">
        <f t="shared" ref="BH5:BL5" si="43">BG5+1</f>
        <v>46204</v>
      </c>
      <c r="BI5" s="10">
        <f t="shared" si="43"/>
        <v>46205</v>
      </c>
      <c r="BJ5" s="10">
        <f t="shared" si="43"/>
        <v>46206</v>
      </c>
      <c r="BK5" s="10">
        <f t="shared" si="43"/>
        <v>46207</v>
      </c>
      <c r="BL5" s="12">
        <f t="shared" si="43"/>
        <v>46208</v>
      </c>
      <c r="BM5" s="11">
        <f>BL5+1</f>
        <v>46209</v>
      </c>
      <c r="BN5" s="10">
        <f>BM5+1</f>
        <v>46210</v>
      </c>
      <c r="BO5" s="10">
        <f t="shared" ref="BO5" si="44">BN5+1</f>
        <v>46211</v>
      </c>
      <c r="BP5" s="10">
        <f t="shared" ref="BP5" si="45">BO5+1</f>
        <v>46212</v>
      </c>
      <c r="BQ5" s="10">
        <f t="shared" ref="BQ5" si="46">BP5+1</f>
        <v>46213</v>
      </c>
      <c r="BR5" s="10">
        <f t="shared" ref="BR5" si="47">BQ5+1</f>
        <v>46214</v>
      </c>
      <c r="BS5" s="12">
        <f t="shared" ref="BS5" si="48">BR5+1</f>
        <v>46215</v>
      </c>
      <c r="BT5" s="11">
        <f>BS5+1</f>
        <v>46216</v>
      </c>
      <c r="BU5" s="10">
        <f>BT5+1</f>
        <v>46217</v>
      </c>
      <c r="BV5" s="10">
        <f t="shared" ref="BV5" si="49">BU5+1</f>
        <v>46218</v>
      </c>
      <c r="BW5" s="10">
        <f t="shared" ref="BW5" si="50">BV5+1</f>
        <v>46219</v>
      </c>
      <c r="BX5" s="10">
        <f t="shared" ref="BX5" si="51">BW5+1</f>
        <v>46220</v>
      </c>
      <c r="BY5" s="10">
        <f t="shared" ref="BY5" si="52">BX5+1</f>
        <v>46221</v>
      </c>
      <c r="BZ5" s="12">
        <f t="shared" ref="BZ5:CB5" si="53">BY5+1</f>
        <v>46222</v>
      </c>
      <c r="CA5" s="11">
        <f t="shared" si="53"/>
        <v>46223</v>
      </c>
      <c r="CB5" s="10">
        <f t="shared" si="53"/>
        <v>46224</v>
      </c>
      <c r="CC5" s="10">
        <f t="shared" ref="CC5" si="54">CB5+1</f>
        <v>46225</v>
      </c>
      <c r="CD5" s="10">
        <f t="shared" ref="CD5" si="55">CC5+1</f>
        <v>46226</v>
      </c>
      <c r="CE5" s="10">
        <f t="shared" ref="CE5" si="56">CD5+1</f>
        <v>46227</v>
      </c>
      <c r="CF5" s="10">
        <f t="shared" ref="CF5" si="57">CE5+1</f>
        <v>46228</v>
      </c>
      <c r="CG5" s="12">
        <f t="shared" ref="CG5:CI5" si="58">CF5+1</f>
        <v>46229</v>
      </c>
      <c r="CH5" s="11">
        <f t="shared" si="58"/>
        <v>46230</v>
      </c>
      <c r="CI5" s="10">
        <f t="shared" si="58"/>
        <v>46231</v>
      </c>
      <c r="CJ5" s="10">
        <f t="shared" ref="CJ5" si="59">CI5+1</f>
        <v>46232</v>
      </c>
      <c r="CK5" s="10">
        <f t="shared" ref="CK5" si="60">CJ5+1</f>
        <v>46233</v>
      </c>
      <c r="CL5" s="10">
        <f t="shared" ref="CL5" si="61">CK5+1</f>
        <v>46234</v>
      </c>
      <c r="CM5" s="10">
        <f t="shared" ref="CM5" si="62">CL5+1</f>
        <v>46235</v>
      </c>
      <c r="CN5" s="12">
        <f t="shared" ref="CN5:CP5" si="63">CM5+1</f>
        <v>46236</v>
      </c>
      <c r="CO5" s="11">
        <f t="shared" si="63"/>
        <v>46237</v>
      </c>
      <c r="CP5" s="10">
        <f t="shared" si="63"/>
        <v>46238</v>
      </c>
      <c r="CQ5" s="10">
        <f t="shared" ref="CQ5" si="64">CP5+1</f>
        <v>46239</v>
      </c>
      <c r="CR5" s="10">
        <f t="shared" ref="CR5" si="65">CQ5+1</f>
        <v>46240</v>
      </c>
      <c r="CS5" s="10">
        <f t="shared" ref="CS5" si="66">CR5+1</f>
        <v>46241</v>
      </c>
      <c r="CT5" s="10">
        <f t="shared" ref="CT5" si="67">CS5+1</f>
        <v>46242</v>
      </c>
      <c r="CU5" s="12">
        <f t="shared" ref="CU5:CW5" si="68">CT5+1</f>
        <v>46243</v>
      </c>
      <c r="CV5" s="11">
        <f t="shared" si="68"/>
        <v>46244</v>
      </c>
      <c r="CW5" s="10">
        <f t="shared" si="68"/>
        <v>46245</v>
      </c>
      <c r="CX5" s="10">
        <f t="shared" ref="CX5" si="69">CW5+1</f>
        <v>46246</v>
      </c>
      <c r="CY5" s="10">
        <f t="shared" ref="CY5" si="70">CX5+1</f>
        <v>46247</v>
      </c>
      <c r="CZ5" s="10">
        <f t="shared" ref="CZ5" si="71">CY5+1</f>
        <v>46248</v>
      </c>
      <c r="DA5" s="10">
        <f t="shared" ref="DA5" si="72">CZ5+1</f>
        <v>46249</v>
      </c>
      <c r="DB5" s="12">
        <f t="shared" ref="DB5" si="73">DA5+1</f>
        <v>46250</v>
      </c>
      <c r="DC5" s="11">
        <f t="shared" ref="DC5" si="74">DB5+1</f>
        <v>46251</v>
      </c>
      <c r="DD5" s="10">
        <f t="shared" ref="DD5" si="75">DC5+1</f>
        <v>46252</v>
      </c>
      <c r="DE5" s="10">
        <f t="shared" ref="DE5" si="76">DD5+1</f>
        <v>46253</v>
      </c>
      <c r="DF5" s="10">
        <f t="shared" ref="DF5" si="77">DE5+1</f>
        <v>46254</v>
      </c>
      <c r="DG5" s="10">
        <f t="shared" ref="DG5" si="78">DF5+1</f>
        <v>46255</v>
      </c>
      <c r="DH5" s="10">
        <f t="shared" ref="DH5" si="79">DG5+1</f>
        <v>46256</v>
      </c>
      <c r="DI5" s="12">
        <f t="shared" ref="DI5" si="80">DH5+1</f>
        <v>46257</v>
      </c>
      <c r="DJ5" s="11">
        <f t="shared" ref="DJ5" si="81">DI5+1</f>
        <v>46258</v>
      </c>
      <c r="DK5" s="10">
        <f t="shared" ref="DK5" si="82">DJ5+1</f>
        <v>46259</v>
      </c>
      <c r="DL5" s="10">
        <f t="shared" ref="DL5" si="83">DK5+1</f>
        <v>46260</v>
      </c>
      <c r="DM5" s="10">
        <f t="shared" ref="DM5" si="84">DL5+1</f>
        <v>46261</v>
      </c>
      <c r="DN5" s="10">
        <f t="shared" ref="DN5" si="85">DM5+1</f>
        <v>46262</v>
      </c>
      <c r="DO5" s="10">
        <f t="shared" ref="DO5" si="86">DN5+1</f>
        <v>46263</v>
      </c>
      <c r="DP5" s="12">
        <f t="shared" ref="DP5" si="87">DO5+1</f>
        <v>46264</v>
      </c>
      <c r="DQ5" s="11">
        <f t="shared" ref="DQ5" si="88">DP5+1</f>
        <v>46265</v>
      </c>
      <c r="DR5" s="10">
        <f t="shared" ref="DR5" si="89">DQ5+1</f>
        <v>46266</v>
      </c>
      <c r="DS5" s="10">
        <f t="shared" ref="DS5" si="90">DR5+1</f>
        <v>46267</v>
      </c>
      <c r="DT5" s="10">
        <f t="shared" ref="DT5" si="91">DS5+1</f>
        <v>46268</v>
      </c>
      <c r="DU5" s="10">
        <f t="shared" ref="DU5" si="92">DT5+1</f>
        <v>46269</v>
      </c>
      <c r="DV5" s="10">
        <f t="shared" ref="DV5" si="93">DU5+1</f>
        <v>46270</v>
      </c>
      <c r="DW5" s="12">
        <f t="shared" ref="DW5" si="94">DV5+1</f>
        <v>46271</v>
      </c>
      <c r="DX5" s="11">
        <f t="shared" ref="DX5" si="95">DW5+1</f>
        <v>46272</v>
      </c>
      <c r="DY5" s="10">
        <f t="shared" ref="DY5" si="96">DX5+1</f>
        <v>46273</v>
      </c>
      <c r="DZ5" s="10">
        <f t="shared" ref="DZ5" si="97">DY5+1</f>
        <v>46274</v>
      </c>
      <c r="EA5" s="10">
        <f t="shared" ref="EA5" si="98">DZ5+1</f>
        <v>46275</v>
      </c>
      <c r="EB5" s="10">
        <f t="shared" ref="EB5" si="99">EA5+1</f>
        <v>46276</v>
      </c>
      <c r="EC5" s="10">
        <f t="shared" ref="EC5" si="100">EB5+1</f>
        <v>46277</v>
      </c>
      <c r="ED5" s="12">
        <f t="shared" ref="ED5" si="101">EC5+1</f>
        <v>46278</v>
      </c>
      <c r="EE5" s="11">
        <f t="shared" ref="EE5" si="102">ED5+1</f>
        <v>46279</v>
      </c>
      <c r="EF5" s="10">
        <f t="shared" ref="EF5" si="103">EE5+1</f>
        <v>46280</v>
      </c>
      <c r="EG5" s="10">
        <f t="shared" ref="EG5" si="104">EF5+1</f>
        <v>46281</v>
      </c>
      <c r="EH5" s="10">
        <f t="shared" ref="EH5" si="105">EG5+1</f>
        <v>46282</v>
      </c>
      <c r="EI5" s="10">
        <f t="shared" ref="EI5" si="106">EH5+1</f>
        <v>46283</v>
      </c>
      <c r="EJ5" s="10">
        <f t="shared" ref="EJ5" si="107">EI5+1</f>
        <v>46284</v>
      </c>
      <c r="EK5" s="12">
        <f t="shared" ref="EK5" si="108">EJ5+1</f>
        <v>46285</v>
      </c>
      <c r="EL5" s="11">
        <f t="shared" ref="EL5" si="109">EK5+1</f>
        <v>46286</v>
      </c>
      <c r="EM5" s="10">
        <f t="shared" ref="EM5" si="110">EL5+1</f>
        <v>46287</v>
      </c>
      <c r="EN5" s="10">
        <f t="shared" ref="EN5" si="111">EM5+1</f>
        <v>46288</v>
      </c>
      <c r="EO5" s="10">
        <f t="shared" ref="EO5" si="112">EN5+1</f>
        <v>46289</v>
      </c>
      <c r="EP5" s="10">
        <f t="shared" ref="EP5" si="113">EO5+1</f>
        <v>46290</v>
      </c>
      <c r="EQ5" s="10">
        <f t="shared" ref="EQ5" si="114">EP5+1</f>
        <v>46291</v>
      </c>
      <c r="ER5" s="12">
        <f t="shared" ref="ER5" si="115">EQ5+1</f>
        <v>46292</v>
      </c>
      <c r="ES5" s="11">
        <f t="shared" ref="ES5" si="116">ER5+1</f>
        <v>46293</v>
      </c>
      <c r="ET5" s="10">
        <f t="shared" ref="ET5" si="117">ES5+1</f>
        <v>46294</v>
      </c>
      <c r="EU5" s="10">
        <f t="shared" ref="EU5" si="118">ET5+1</f>
        <v>46295</v>
      </c>
      <c r="EV5" s="10">
        <f t="shared" ref="EV5" si="119">EU5+1</f>
        <v>46296</v>
      </c>
      <c r="EW5" s="10">
        <f t="shared" ref="EW5" si="120">EV5+1</f>
        <v>46297</v>
      </c>
      <c r="EX5" s="10">
        <f t="shared" ref="EX5" si="121">EW5+1</f>
        <v>46298</v>
      </c>
      <c r="EY5" s="12">
        <f t="shared" ref="EY5" si="122">EX5+1</f>
        <v>46299</v>
      </c>
      <c r="EZ5" s="11">
        <f t="shared" ref="EZ5" si="123">EY5+1</f>
        <v>46300</v>
      </c>
      <c r="FA5" s="10">
        <f t="shared" ref="FA5" si="124">EZ5+1</f>
        <v>46301</v>
      </c>
      <c r="FB5" s="10">
        <f t="shared" ref="FB5" si="125">FA5+1</f>
        <v>46302</v>
      </c>
      <c r="FC5" s="10">
        <f t="shared" ref="FC5" si="126">FB5+1</f>
        <v>46303</v>
      </c>
      <c r="FD5" s="10">
        <f t="shared" ref="FD5" si="127">FC5+1</f>
        <v>46304</v>
      </c>
      <c r="FE5" s="10">
        <f t="shared" ref="FE5" si="128">FD5+1</f>
        <v>46305</v>
      </c>
      <c r="FF5" s="12">
        <f t="shared" ref="FF5" si="129">FE5+1</f>
        <v>46306</v>
      </c>
      <c r="FG5" s="11">
        <f t="shared" ref="FG5" si="130">FF5+1</f>
        <v>46307</v>
      </c>
      <c r="FH5" s="10">
        <f t="shared" ref="FH5" si="131">FG5+1</f>
        <v>46308</v>
      </c>
      <c r="FI5" s="10">
        <f t="shared" ref="FI5" si="132">FH5+1</f>
        <v>46309</v>
      </c>
      <c r="FJ5" s="10">
        <f t="shared" ref="FJ5" si="133">FI5+1</f>
        <v>46310</v>
      </c>
      <c r="FK5" s="10">
        <f t="shared" ref="FK5" si="134">FJ5+1</f>
        <v>46311</v>
      </c>
      <c r="FL5" s="10">
        <f t="shared" ref="FL5" si="135">FK5+1</f>
        <v>46312</v>
      </c>
      <c r="FM5" s="12">
        <f t="shared" ref="FM5" si="136">FL5+1</f>
        <v>46313</v>
      </c>
      <c r="FN5" s="11">
        <f t="shared" ref="FN5" si="137">FM5+1</f>
        <v>46314</v>
      </c>
      <c r="FO5" s="10">
        <f t="shared" ref="FO5" si="138">FN5+1</f>
        <v>46315</v>
      </c>
      <c r="FP5" s="10">
        <f t="shared" ref="FP5" si="139">FO5+1</f>
        <v>46316</v>
      </c>
      <c r="FQ5" s="10">
        <f t="shared" ref="FQ5" si="140">FP5+1</f>
        <v>46317</v>
      </c>
      <c r="FR5" s="10">
        <f t="shared" ref="FR5" si="141">FQ5+1</f>
        <v>46318</v>
      </c>
      <c r="FS5" s="10">
        <f t="shared" ref="FS5" si="142">FR5+1</f>
        <v>46319</v>
      </c>
      <c r="FT5" s="12">
        <f t="shared" ref="FT5" si="143">FS5+1</f>
        <v>46320</v>
      </c>
      <c r="FU5" s="11">
        <f t="shared" ref="FU5" si="144">FT5+1</f>
        <v>46321</v>
      </c>
      <c r="FV5" s="10">
        <f t="shared" ref="FV5" si="145">FU5+1</f>
        <v>46322</v>
      </c>
      <c r="FW5" s="10">
        <f t="shared" ref="FW5" si="146">FV5+1</f>
        <v>46323</v>
      </c>
      <c r="FX5" s="10">
        <f t="shared" ref="FX5" si="147">FW5+1</f>
        <v>46324</v>
      </c>
      <c r="FY5" s="10">
        <f t="shared" ref="FY5" si="148">FX5+1</f>
        <v>46325</v>
      </c>
      <c r="FZ5" s="10">
        <f t="shared" ref="FZ5" si="149">FY5+1</f>
        <v>46326</v>
      </c>
      <c r="GA5" s="12">
        <f t="shared" ref="GA5" si="150">FZ5+1</f>
        <v>46327</v>
      </c>
      <c r="GB5" s="11">
        <f t="shared" ref="GB5" si="151">GA5+1</f>
        <v>46328</v>
      </c>
      <c r="GC5" s="10">
        <f t="shared" ref="GC5" si="152">GB5+1</f>
        <v>46329</v>
      </c>
      <c r="GD5" s="10">
        <f t="shared" ref="GD5" si="153">GC5+1</f>
        <v>46330</v>
      </c>
      <c r="GE5" s="10">
        <f t="shared" ref="GE5" si="154">GD5+1</f>
        <v>46331</v>
      </c>
      <c r="GF5" s="10">
        <f t="shared" ref="GF5" si="155">GE5+1</f>
        <v>46332</v>
      </c>
      <c r="GG5" s="10">
        <f t="shared" ref="GG5" si="156">GF5+1</f>
        <v>46333</v>
      </c>
      <c r="GH5" s="12">
        <f t="shared" ref="GH5" si="157">GG5+1</f>
        <v>46334</v>
      </c>
      <c r="GI5" s="11">
        <f t="shared" ref="GI5" si="158">GH5+1</f>
        <v>46335</v>
      </c>
      <c r="GJ5" s="10">
        <f t="shared" ref="GJ5" si="159">GI5+1</f>
        <v>46336</v>
      </c>
      <c r="GK5" s="10">
        <f t="shared" ref="GK5" si="160">GJ5+1</f>
        <v>46337</v>
      </c>
      <c r="GL5" s="10">
        <f t="shared" ref="GL5" si="161">GK5+1</f>
        <v>46338</v>
      </c>
      <c r="GM5" s="10">
        <f t="shared" ref="GM5" si="162">GL5+1</f>
        <v>46339</v>
      </c>
      <c r="GN5" s="10">
        <f t="shared" ref="GN5" si="163">GM5+1</f>
        <v>46340</v>
      </c>
      <c r="GO5" s="12">
        <f t="shared" ref="GO5" si="164">GN5+1</f>
        <v>46341</v>
      </c>
      <c r="GP5" s="11">
        <f t="shared" ref="GP5" si="165">GO5+1</f>
        <v>46342</v>
      </c>
      <c r="GQ5" s="10">
        <f t="shared" ref="GQ5" si="166">GP5+1</f>
        <v>46343</v>
      </c>
      <c r="GR5" s="10">
        <f t="shared" ref="GR5" si="167">GQ5+1</f>
        <v>46344</v>
      </c>
      <c r="GS5" s="10">
        <f t="shared" ref="GS5" si="168">GR5+1</f>
        <v>46345</v>
      </c>
      <c r="GT5" s="10">
        <f t="shared" ref="GT5" si="169">GS5+1</f>
        <v>46346</v>
      </c>
      <c r="GU5" s="10">
        <f t="shared" ref="GU5" si="170">GT5+1</f>
        <v>46347</v>
      </c>
      <c r="GV5" s="12">
        <f t="shared" ref="GV5" si="171">GU5+1</f>
        <v>46348</v>
      </c>
      <c r="GW5" s="11">
        <f t="shared" ref="GW5" si="172">GV5+1</f>
        <v>46349</v>
      </c>
      <c r="GX5" s="10">
        <f t="shared" ref="GX5" si="173">GW5+1</f>
        <v>46350</v>
      </c>
      <c r="GY5" s="10">
        <f t="shared" ref="GY5" si="174">GX5+1</f>
        <v>46351</v>
      </c>
      <c r="GZ5" s="10">
        <f t="shared" ref="GZ5" si="175">GY5+1</f>
        <v>46352</v>
      </c>
      <c r="HA5" s="10">
        <f t="shared" ref="HA5" si="176">GZ5+1</f>
        <v>46353</v>
      </c>
      <c r="HB5" s="10">
        <f t="shared" ref="HB5" si="177">HA5+1</f>
        <v>46354</v>
      </c>
      <c r="HC5" s="12">
        <f t="shared" ref="HC5" si="178">HB5+1</f>
        <v>46355</v>
      </c>
      <c r="HD5" s="11">
        <f t="shared" ref="HD5" si="179">HC5+1</f>
        <v>46356</v>
      </c>
      <c r="HE5" s="10">
        <f t="shared" ref="HE5" si="180">HD5+1</f>
        <v>46357</v>
      </c>
      <c r="HF5" s="10">
        <f t="shared" ref="HF5" si="181">HE5+1</f>
        <v>46358</v>
      </c>
      <c r="HG5" s="10">
        <f t="shared" ref="HG5" si="182">HF5+1</f>
        <v>46359</v>
      </c>
      <c r="HH5" s="10">
        <f t="shared" ref="HH5" si="183">HG5+1</f>
        <v>46360</v>
      </c>
      <c r="HI5" s="10">
        <f t="shared" ref="HI5" si="184">HH5+1</f>
        <v>46361</v>
      </c>
      <c r="HJ5" s="12">
        <f t="shared" ref="HJ5" si="185">HI5+1</f>
        <v>46362</v>
      </c>
      <c r="HK5" s="11">
        <f t="shared" ref="HK5" si="186">HJ5+1</f>
        <v>46363</v>
      </c>
      <c r="HL5" s="10">
        <f t="shared" ref="HL5" si="187">HK5+1</f>
        <v>46364</v>
      </c>
      <c r="HM5" s="10">
        <f t="shared" ref="HM5" si="188">HL5+1</f>
        <v>46365</v>
      </c>
      <c r="HN5" s="10">
        <f t="shared" ref="HN5" si="189">HM5+1</f>
        <v>46366</v>
      </c>
      <c r="HO5" s="10">
        <f t="shared" ref="HO5" si="190">HN5+1</f>
        <v>46367</v>
      </c>
      <c r="HP5" s="10">
        <f t="shared" ref="HP5" si="191">HO5+1</f>
        <v>46368</v>
      </c>
      <c r="HQ5" s="12">
        <f t="shared" ref="HQ5" si="192">HP5+1</f>
        <v>46369</v>
      </c>
      <c r="HR5" s="11">
        <f t="shared" ref="HR5" si="193">HQ5+1</f>
        <v>46370</v>
      </c>
      <c r="HS5" s="10">
        <f t="shared" ref="HS5" si="194">HR5+1</f>
        <v>46371</v>
      </c>
      <c r="HT5" s="10">
        <f t="shared" ref="HT5" si="195">HS5+1</f>
        <v>46372</v>
      </c>
      <c r="HU5" s="10">
        <f t="shared" ref="HU5" si="196">HT5+1</f>
        <v>46373</v>
      </c>
      <c r="HV5" s="10">
        <f t="shared" ref="HV5" si="197">HU5+1</f>
        <v>46374</v>
      </c>
      <c r="HW5" s="10">
        <f t="shared" ref="HW5" si="198">HV5+1</f>
        <v>46375</v>
      </c>
      <c r="HX5" s="12">
        <f t="shared" ref="HX5" si="199">HW5+1</f>
        <v>46376</v>
      </c>
      <c r="HY5" s="11">
        <f t="shared" ref="HY5" si="200">HX5+1</f>
        <v>46377</v>
      </c>
      <c r="HZ5" s="10">
        <f t="shared" ref="HZ5" si="201">HY5+1</f>
        <v>46378</v>
      </c>
      <c r="IA5" s="10">
        <f t="shared" ref="IA5" si="202">HZ5+1</f>
        <v>46379</v>
      </c>
      <c r="IB5" s="10">
        <f t="shared" ref="IB5" si="203">IA5+1</f>
        <v>46380</v>
      </c>
      <c r="IC5" s="10">
        <f t="shared" ref="IC5" si="204">IB5+1</f>
        <v>46381</v>
      </c>
      <c r="ID5" s="10">
        <f t="shared" ref="ID5" si="205">IC5+1</f>
        <v>46382</v>
      </c>
      <c r="IE5" s="12">
        <f t="shared" ref="IE5" si="206">ID5+1</f>
        <v>46383</v>
      </c>
      <c r="IF5" s="11">
        <f t="shared" ref="IF5" si="207">IE5+1</f>
        <v>46384</v>
      </c>
      <c r="IG5" s="10">
        <f t="shared" ref="IG5" si="208">IF5+1</f>
        <v>46385</v>
      </c>
      <c r="IH5" s="10">
        <f t="shared" ref="IH5" si="209">IG5+1</f>
        <v>46386</v>
      </c>
      <c r="II5" s="10">
        <f t="shared" ref="II5" si="210">IH5+1</f>
        <v>46387</v>
      </c>
      <c r="IJ5" s="10">
        <f t="shared" ref="IJ5" si="211">II5+1</f>
        <v>46388</v>
      </c>
      <c r="IK5" s="10">
        <f t="shared" ref="IK5" si="212">IJ5+1</f>
        <v>46389</v>
      </c>
      <c r="IL5" s="12">
        <f t="shared" ref="IL5" si="213">IK5+1</f>
        <v>46390</v>
      </c>
      <c r="IM5" s="11">
        <f t="shared" ref="IM5" si="214">IL5+1</f>
        <v>46391</v>
      </c>
      <c r="IN5" s="10">
        <f t="shared" ref="IN5" si="215">IM5+1</f>
        <v>46392</v>
      </c>
      <c r="IO5" s="10">
        <f t="shared" ref="IO5" si="216">IN5+1</f>
        <v>46393</v>
      </c>
      <c r="IP5" s="10">
        <f t="shared" ref="IP5" si="217">IO5+1</f>
        <v>46394</v>
      </c>
      <c r="IQ5" s="10">
        <f t="shared" ref="IQ5" si="218">IP5+1</f>
        <v>46395</v>
      </c>
      <c r="IR5" s="10">
        <f t="shared" ref="IR5" si="219">IQ5+1</f>
        <v>46396</v>
      </c>
      <c r="IS5" s="12">
        <f t="shared" ref="IS5" si="220">IR5+1</f>
        <v>46397</v>
      </c>
      <c r="IT5" s="11">
        <f t="shared" ref="IT5" si="221">IS5+1</f>
        <v>46398</v>
      </c>
      <c r="IU5" s="10">
        <f t="shared" ref="IU5" si="222">IT5+1</f>
        <v>46399</v>
      </c>
      <c r="IV5" s="10">
        <f t="shared" ref="IV5" si="223">IU5+1</f>
        <v>46400</v>
      </c>
      <c r="IW5" s="10">
        <f t="shared" ref="IW5" si="224">IV5+1</f>
        <v>46401</v>
      </c>
      <c r="IX5" s="10">
        <f t="shared" ref="IX5" si="225">IW5+1</f>
        <v>46402</v>
      </c>
      <c r="IY5" s="10">
        <f t="shared" ref="IY5" si="226">IX5+1</f>
        <v>46403</v>
      </c>
      <c r="IZ5" s="12">
        <f t="shared" ref="IZ5" si="227">IY5+1</f>
        <v>46404</v>
      </c>
      <c r="JA5" s="11">
        <f t="shared" ref="JA5" si="228">IZ5+1</f>
        <v>46405</v>
      </c>
      <c r="JB5" s="10">
        <f t="shared" ref="JB5" si="229">JA5+1</f>
        <v>46406</v>
      </c>
      <c r="JC5" s="10">
        <f t="shared" ref="JC5" si="230">JB5+1</f>
        <v>46407</v>
      </c>
      <c r="JD5" s="10">
        <f t="shared" ref="JD5" si="231">JC5+1</f>
        <v>46408</v>
      </c>
      <c r="JE5" s="10">
        <f t="shared" ref="JE5" si="232">JD5+1</f>
        <v>46409</v>
      </c>
      <c r="JF5" s="10">
        <f t="shared" ref="JF5" si="233">JE5+1</f>
        <v>46410</v>
      </c>
      <c r="JG5" s="12">
        <f t="shared" ref="JG5" si="234">JF5+1</f>
        <v>46411</v>
      </c>
      <c r="JH5" s="11">
        <f t="shared" ref="JH5" si="235">JG5+1</f>
        <v>46412</v>
      </c>
      <c r="JI5" s="10">
        <f t="shared" ref="JI5" si="236">JH5+1</f>
        <v>46413</v>
      </c>
      <c r="JJ5" s="10">
        <f t="shared" ref="JJ5" si="237">JI5+1</f>
        <v>46414</v>
      </c>
      <c r="JK5" s="10">
        <f t="shared" ref="JK5" si="238">JJ5+1</f>
        <v>46415</v>
      </c>
      <c r="JL5" s="10">
        <f t="shared" ref="JL5" si="239">JK5+1</f>
        <v>46416</v>
      </c>
      <c r="JM5" s="10">
        <f t="shared" ref="JM5" si="240">JL5+1</f>
        <v>46417</v>
      </c>
      <c r="JN5" s="12">
        <f t="shared" ref="JN5" si="241">JM5+1</f>
        <v>46418</v>
      </c>
      <c r="JO5" s="11">
        <f t="shared" ref="JO5" si="242">JN5+1</f>
        <v>46419</v>
      </c>
      <c r="JP5" s="10">
        <f t="shared" ref="JP5" si="243">JO5+1</f>
        <v>46420</v>
      </c>
      <c r="JQ5" s="10">
        <f t="shared" ref="JQ5" si="244">JP5+1</f>
        <v>46421</v>
      </c>
      <c r="JR5" s="10">
        <f t="shared" ref="JR5" si="245">JQ5+1</f>
        <v>46422</v>
      </c>
      <c r="JS5" s="10">
        <f t="shared" ref="JS5" si="246">JR5+1</f>
        <v>46423</v>
      </c>
      <c r="JT5" s="10">
        <f t="shared" ref="JT5" si="247">JS5+1</f>
        <v>46424</v>
      </c>
      <c r="JU5" s="12">
        <f t="shared" ref="JU5" si="248">JT5+1</f>
        <v>46425</v>
      </c>
      <c r="JV5" s="11">
        <f t="shared" ref="JV5" si="249">JU5+1</f>
        <v>46426</v>
      </c>
      <c r="JW5" s="10">
        <f t="shared" ref="JW5" si="250">JV5+1</f>
        <v>46427</v>
      </c>
      <c r="JX5" s="10">
        <f t="shared" ref="JX5" si="251">JW5+1</f>
        <v>46428</v>
      </c>
      <c r="JY5" s="10">
        <f t="shared" ref="JY5" si="252">JX5+1</f>
        <v>46429</v>
      </c>
      <c r="JZ5" s="10">
        <f t="shared" ref="JZ5" si="253">JY5+1</f>
        <v>46430</v>
      </c>
      <c r="KA5" s="10">
        <f t="shared" ref="KA5" si="254">JZ5+1</f>
        <v>46431</v>
      </c>
      <c r="KB5" s="12">
        <f t="shared" ref="KB5" si="255">KA5+1</f>
        <v>46432</v>
      </c>
      <c r="KC5" s="11">
        <f t="shared" ref="KC5" si="256">KB5+1</f>
        <v>46433</v>
      </c>
      <c r="KD5" s="10">
        <f t="shared" ref="KD5" si="257">KC5+1</f>
        <v>46434</v>
      </c>
      <c r="KE5" s="10">
        <f t="shared" ref="KE5" si="258">KD5+1</f>
        <v>46435</v>
      </c>
      <c r="KF5" s="10">
        <f t="shared" ref="KF5" si="259">KE5+1</f>
        <v>46436</v>
      </c>
      <c r="KG5" s="10">
        <f t="shared" ref="KG5" si="260">KF5+1</f>
        <v>46437</v>
      </c>
      <c r="KH5" s="10">
        <f t="shared" ref="KH5" si="261">KG5+1</f>
        <v>46438</v>
      </c>
      <c r="KI5" s="12">
        <f t="shared" ref="KI5" si="262">KH5+1</f>
        <v>46439</v>
      </c>
      <c r="KJ5" s="11">
        <f t="shared" ref="KJ5" si="263">KI5+1</f>
        <v>46440</v>
      </c>
      <c r="KK5" s="10">
        <f t="shared" ref="KK5" si="264">KJ5+1</f>
        <v>46441</v>
      </c>
      <c r="KL5" s="10">
        <f t="shared" ref="KL5" si="265">KK5+1</f>
        <v>46442</v>
      </c>
      <c r="KM5" s="10">
        <f t="shared" ref="KM5" si="266">KL5+1</f>
        <v>46443</v>
      </c>
      <c r="KN5" s="10">
        <f t="shared" ref="KN5" si="267">KM5+1</f>
        <v>46444</v>
      </c>
      <c r="KO5" s="10">
        <f t="shared" ref="KO5" si="268">KN5+1</f>
        <v>46445</v>
      </c>
      <c r="KP5" s="12">
        <f t="shared" ref="KP5" si="269">KO5+1</f>
        <v>46446</v>
      </c>
      <c r="KQ5" s="11">
        <f t="shared" ref="KQ5" si="270">KP5+1</f>
        <v>46447</v>
      </c>
      <c r="KR5" s="10">
        <f t="shared" ref="KR5" si="271">KQ5+1</f>
        <v>46448</v>
      </c>
      <c r="KS5" s="10">
        <f t="shared" ref="KS5" si="272">KR5+1</f>
        <v>46449</v>
      </c>
      <c r="KT5" s="10">
        <f t="shared" ref="KT5" si="273">KS5+1</f>
        <v>46450</v>
      </c>
      <c r="KU5" s="10">
        <f t="shared" ref="KU5" si="274">KT5+1</f>
        <v>46451</v>
      </c>
      <c r="KV5" s="10">
        <f t="shared" ref="KV5" si="275">KU5+1</f>
        <v>46452</v>
      </c>
      <c r="KW5" s="12">
        <f t="shared" ref="KW5" si="276">KV5+1</f>
        <v>46453</v>
      </c>
      <c r="KX5" s="11">
        <f t="shared" ref="KX5" si="277">KW5+1</f>
        <v>46454</v>
      </c>
      <c r="KY5" s="10">
        <f t="shared" ref="KY5" si="278">KX5+1</f>
        <v>46455</v>
      </c>
      <c r="KZ5" s="10">
        <f t="shared" ref="KZ5" si="279">KY5+1</f>
        <v>46456</v>
      </c>
      <c r="LA5" s="10">
        <f t="shared" ref="LA5" si="280">KZ5+1</f>
        <v>46457</v>
      </c>
      <c r="LB5" s="10">
        <f t="shared" ref="LB5" si="281">LA5+1</f>
        <v>46458</v>
      </c>
      <c r="LC5" s="10">
        <f t="shared" ref="LC5" si="282">LB5+1</f>
        <v>46459</v>
      </c>
      <c r="LD5" s="12">
        <f t="shared" ref="LD5" si="283">LC5+1</f>
        <v>46460</v>
      </c>
      <c r="LE5" s="11">
        <f t="shared" ref="LE5" si="284">LD5+1</f>
        <v>46461</v>
      </c>
      <c r="LF5" s="10">
        <f t="shared" ref="LF5" si="285">LE5+1</f>
        <v>46462</v>
      </c>
      <c r="LG5" s="10">
        <f t="shared" ref="LG5" si="286">LF5+1</f>
        <v>46463</v>
      </c>
      <c r="LH5" s="10">
        <f t="shared" ref="LH5" si="287">LG5+1</f>
        <v>46464</v>
      </c>
      <c r="LI5" s="10">
        <f t="shared" ref="LI5" si="288">LH5+1</f>
        <v>46465</v>
      </c>
      <c r="LJ5" s="10">
        <f t="shared" ref="LJ5" si="289">LI5+1</f>
        <v>46466</v>
      </c>
      <c r="LK5" s="12">
        <f t="shared" ref="LK5" si="290">LJ5+1</f>
        <v>46467</v>
      </c>
      <c r="LL5" s="11">
        <f t="shared" ref="LL5" si="291">LK5+1</f>
        <v>46468</v>
      </c>
      <c r="LM5" s="10">
        <f t="shared" ref="LM5" si="292">LL5+1</f>
        <v>46469</v>
      </c>
      <c r="LN5" s="10">
        <f t="shared" ref="LN5" si="293">LM5+1</f>
        <v>46470</v>
      </c>
      <c r="LO5" s="10">
        <f t="shared" ref="LO5" si="294">LN5+1</f>
        <v>46471</v>
      </c>
      <c r="LP5" s="10">
        <f t="shared" ref="LP5" si="295">LO5+1</f>
        <v>46472</v>
      </c>
      <c r="LQ5" s="10">
        <f t="shared" ref="LQ5" si="296">LP5+1</f>
        <v>46473</v>
      </c>
      <c r="LR5" s="12">
        <f t="shared" ref="LR5" si="297">LQ5+1</f>
        <v>46474</v>
      </c>
      <c r="LS5" s="11">
        <f t="shared" ref="LS5" si="298">LR5+1</f>
        <v>46475</v>
      </c>
      <c r="LT5" s="10">
        <f t="shared" ref="LT5" si="299">LS5+1</f>
        <v>46476</v>
      </c>
      <c r="LU5" s="10">
        <f t="shared" ref="LU5" si="300">LT5+1</f>
        <v>46477</v>
      </c>
      <c r="LV5" s="10">
        <f t="shared" ref="LV5" si="301">LU5+1</f>
        <v>46478</v>
      </c>
      <c r="LW5" s="10">
        <f t="shared" ref="LW5" si="302">LV5+1</f>
        <v>46479</v>
      </c>
      <c r="LX5" s="10">
        <f t="shared" ref="LX5" si="303">LW5+1</f>
        <v>46480</v>
      </c>
      <c r="LY5" s="12">
        <f t="shared" ref="LY5" si="304">LX5+1</f>
        <v>46481</v>
      </c>
      <c r="LZ5" s="11">
        <f t="shared" ref="LZ5" si="305">LY5+1</f>
        <v>46482</v>
      </c>
      <c r="MA5" s="10">
        <f t="shared" ref="MA5" si="306">LZ5+1</f>
        <v>46483</v>
      </c>
      <c r="MB5" s="10">
        <f t="shared" ref="MB5" si="307">MA5+1</f>
        <v>46484</v>
      </c>
      <c r="MC5" s="10">
        <f t="shared" ref="MC5" si="308">MB5+1</f>
        <v>46485</v>
      </c>
      <c r="MD5" s="10">
        <f t="shared" ref="MD5" si="309">MC5+1</f>
        <v>46486</v>
      </c>
      <c r="ME5" s="10">
        <f t="shared" ref="ME5" si="310">MD5+1</f>
        <v>46487</v>
      </c>
      <c r="MF5" s="12">
        <f t="shared" ref="MF5" si="311">ME5+1</f>
        <v>46488</v>
      </c>
      <c r="MG5" s="11">
        <f t="shared" ref="MG5" si="312">MF5+1</f>
        <v>46489</v>
      </c>
      <c r="MH5" s="10">
        <f t="shared" ref="MH5" si="313">MG5+1</f>
        <v>46490</v>
      </c>
      <c r="MI5" s="10">
        <f t="shared" ref="MI5" si="314">MH5+1</f>
        <v>46491</v>
      </c>
      <c r="MJ5" s="10">
        <f t="shared" ref="MJ5" si="315">MI5+1</f>
        <v>46492</v>
      </c>
      <c r="MK5" s="10">
        <f t="shared" ref="MK5" si="316">MJ5+1</f>
        <v>46493</v>
      </c>
      <c r="ML5" s="10">
        <f t="shared" ref="ML5" si="317">MK5+1</f>
        <v>46494</v>
      </c>
      <c r="MM5" s="12">
        <f t="shared" ref="MM5" si="318">ML5+1</f>
        <v>46495</v>
      </c>
      <c r="MN5" s="11">
        <f t="shared" ref="MN5" si="319">MM5+1</f>
        <v>46496</v>
      </c>
      <c r="MO5" s="10">
        <f t="shared" ref="MO5" si="320">MN5+1</f>
        <v>46497</v>
      </c>
      <c r="MP5" s="10">
        <f t="shared" ref="MP5" si="321">MO5+1</f>
        <v>46498</v>
      </c>
      <c r="MQ5" s="10">
        <f t="shared" ref="MQ5" si="322">MP5+1</f>
        <v>46499</v>
      </c>
      <c r="MR5" s="10">
        <f t="shared" ref="MR5" si="323">MQ5+1</f>
        <v>46500</v>
      </c>
      <c r="MS5" s="10">
        <f t="shared" ref="MS5" si="324">MR5+1</f>
        <v>46501</v>
      </c>
      <c r="MT5" s="12">
        <f t="shared" ref="MT5" si="325">MS5+1</f>
        <v>46502</v>
      </c>
      <c r="MU5" s="11">
        <f t="shared" ref="MU5" si="326">MT5+1</f>
        <v>46503</v>
      </c>
      <c r="MV5" s="10">
        <f t="shared" ref="MV5" si="327">MU5+1</f>
        <v>46504</v>
      </c>
      <c r="MW5" s="10">
        <f t="shared" ref="MW5" si="328">MV5+1</f>
        <v>46505</v>
      </c>
      <c r="MX5" s="10">
        <f t="shared" ref="MX5" si="329">MW5+1</f>
        <v>46506</v>
      </c>
      <c r="MY5" s="10">
        <f t="shared" ref="MY5" si="330">MX5+1</f>
        <v>46507</v>
      </c>
      <c r="MZ5" s="10">
        <f t="shared" ref="MZ5" si="331">MY5+1</f>
        <v>46508</v>
      </c>
      <c r="NA5" s="12">
        <f t="shared" ref="NA5" si="332">MZ5+1</f>
        <v>46509</v>
      </c>
    </row>
    <row r="6" spans="1:365" ht="30" customHeight="1" thickBot="1" x14ac:dyDescent="0.3">
      <c r="A6" s="42" t="s">
        <v>9</v>
      </c>
      <c r="B6" s="8" t="s">
        <v>10</v>
      </c>
      <c r="C6" s="9" t="s">
        <v>11</v>
      </c>
      <c r="D6" s="9" t="s">
        <v>12</v>
      </c>
      <c r="E6" s="9" t="s">
        <v>13</v>
      </c>
      <c r="F6" s="9" t="s">
        <v>14</v>
      </c>
      <c r="G6" s="9"/>
      <c r="H6" s="9" t="s">
        <v>15</v>
      </c>
      <c r="I6" s="13" t="str">
        <f t="shared" ref="I6" si="333">LEFT(TEXT(I5,"ddd"),1)</f>
        <v>M</v>
      </c>
      <c r="J6" s="13" t="str">
        <f t="shared" ref="J6:AR6" si="334">LEFT(TEXT(J5,"ddd"),1)</f>
        <v>T</v>
      </c>
      <c r="K6" s="13" t="str">
        <f t="shared" si="334"/>
        <v>W</v>
      </c>
      <c r="L6" s="13" t="str">
        <f t="shared" si="334"/>
        <v>T</v>
      </c>
      <c r="M6" s="13" t="str">
        <f t="shared" si="334"/>
        <v>F</v>
      </c>
      <c r="N6" s="13" t="str">
        <f t="shared" si="334"/>
        <v>S</v>
      </c>
      <c r="O6" s="13" t="str">
        <f t="shared" si="334"/>
        <v>S</v>
      </c>
      <c r="P6" s="13" t="str">
        <f t="shared" si="334"/>
        <v>M</v>
      </c>
      <c r="Q6" s="13" t="str">
        <f t="shared" si="334"/>
        <v>T</v>
      </c>
      <c r="R6" s="13" t="str">
        <f t="shared" si="334"/>
        <v>W</v>
      </c>
      <c r="S6" s="13" t="str">
        <f t="shared" si="334"/>
        <v>T</v>
      </c>
      <c r="T6" s="13" t="str">
        <f t="shared" si="334"/>
        <v>F</v>
      </c>
      <c r="U6" s="13" t="str">
        <f t="shared" si="334"/>
        <v>S</v>
      </c>
      <c r="V6" s="13" t="str">
        <f t="shared" si="334"/>
        <v>S</v>
      </c>
      <c r="W6" s="13" t="str">
        <f t="shared" si="334"/>
        <v>M</v>
      </c>
      <c r="X6" s="13" t="str">
        <f t="shared" si="334"/>
        <v>T</v>
      </c>
      <c r="Y6" s="13" t="str">
        <f t="shared" si="334"/>
        <v>W</v>
      </c>
      <c r="Z6" s="13" t="str">
        <f t="shared" si="334"/>
        <v>T</v>
      </c>
      <c r="AA6" s="13" t="str">
        <f t="shared" si="334"/>
        <v>F</v>
      </c>
      <c r="AB6" s="13" t="str">
        <f t="shared" si="334"/>
        <v>S</v>
      </c>
      <c r="AC6" s="13" t="str">
        <f t="shared" si="334"/>
        <v>S</v>
      </c>
      <c r="AD6" s="13" t="str">
        <f t="shared" si="334"/>
        <v>M</v>
      </c>
      <c r="AE6" s="13" t="str">
        <f t="shared" si="334"/>
        <v>T</v>
      </c>
      <c r="AF6" s="13" t="str">
        <f t="shared" si="334"/>
        <v>W</v>
      </c>
      <c r="AG6" s="13" t="str">
        <f t="shared" si="334"/>
        <v>T</v>
      </c>
      <c r="AH6" s="13" t="str">
        <f t="shared" si="334"/>
        <v>F</v>
      </c>
      <c r="AI6" s="13" t="str">
        <f t="shared" si="334"/>
        <v>S</v>
      </c>
      <c r="AJ6" s="13" t="str">
        <f t="shared" si="334"/>
        <v>S</v>
      </c>
      <c r="AK6" s="13" t="str">
        <f t="shared" si="334"/>
        <v>M</v>
      </c>
      <c r="AL6" s="13" t="str">
        <f t="shared" si="334"/>
        <v>T</v>
      </c>
      <c r="AM6" s="13" t="str">
        <f t="shared" si="334"/>
        <v>W</v>
      </c>
      <c r="AN6" s="13" t="str">
        <f t="shared" si="334"/>
        <v>T</v>
      </c>
      <c r="AO6" s="13" t="str">
        <f t="shared" si="334"/>
        <v>F</v>
      </c>
      <c r="AP6" s="13" t="str">
        <f t="shared" si="334"/>
        <v>S</v>
      </c>
      <c r="AQ6" s="13" t="str">
        <f t="shared" si="334"/>
        <v>S</v>
      </c>
      <c r="AR6" s="13" t="str">
        <f t="shared" si="334"/>
        <v>M</v>
      </c>
      <c r="AS6" s="13" t="str">
        <f t="shared" ref="AS6:BL6" si="335">LEFT(TEXT(AS5,"ddd"),1)</f>
        <v>T</v>
      </c>
      <c r="AT6" s="13" t="str">
        <f t="shared" si="335"/>
        <v>W</v>
      </c>
      <c r="AU6" s="13" t="str">
        <f t="shared" si="335"/>
        <v>T</v>
      </c>
      <c r="AV6" s="13" t="str">
        <f t="shared" si="335"/>
        <v>F</v>
      </c>
      <c r="AW6" s="13" t="str">
        <f t="shared" si="335"/>
        <v>S</v>
      </c>
      <c r="AX6" s="13" t="str">
        <f t="shared" si="335"/>
        <v>S</v>
      </c>
      <c r="AY6" s="13" t="str">
        <f t="shared" si="335"/>
        <v>M</v>
      </c>
      <c r="AZ6" s="13" t="str">
        <f t="shared" si="335"/>
        <v>T</v>
      </c>
      <c r="BA6" s="13" t="str">
        <f t="shared" si="335"/>
        <v>W</v>
      </c>
      <c r="BB6" s="13" t="str">
        <f t="shared" si="335"/>
        <v>T</v>
      </c>
      <c r="BC6" s="13" t="str">
        <f t="shared" si="335"/>
        <v>F</v>
      </c>
      <c r="BD6" s="13" t="str">
        <f t="shared" si="335"/>
        <v>S</v>
      </c>
      <c r="BE6" s="13" t="str">
        <f t="shared" si="335"/>
        <v>S</v>
      </c>
      <c r="BF6" s="13" t="str">
        <f t="shared" si="335"/>
        <v>M</v>
      </c>
      <c r="BG6" s="13" t="str">
        <f t="shared" si="335"/>
        <v>T</v>
      </c>
      <c r="BH6" s="13" t="str">
        <f t="shared" si="335"/>
        <v>W</v>
      </c>
      <c r="BI6" s="13" t="str">
        <f t="shared" si="335"/>
        <v>T</v>
      </c>
      <c r="BJ6" s="13" t="str">
        <f t="shared" si="335"/>
        <v>F</v>
      </c>
      <c r="BK6" s="13" t="str">
        <f t="shared" si="335"/>
        <v>S</v>
      </c>
      <c r="BL6" s="13" t="str">
        <f t="shared" si="335"/>
        <v>S</v>
      </c>
      <c r="BM6" s="13" t="str">
        <f t="shared" ref="BM6:BZ6" si="336">LEFT(TEXT(BM5,"ddd"),1)</f>
        <v>M</v>
      </c>
      <c r="BN6" s="13" t="str">
        <f t="shared" si="336"/>
        <v>T</v>
      </c>
      <c r="BO6" s="13" t="str">
        <f t="shared" si="336"/>
        <v>W</v>
      </c>
      <c r="BP6" s="13" t="str">
        <f t="shared" si="336"/>
        <v>T</v>
      </c>
      <c r="BQ6" s="13" t="str">
        <f t="shared" si="336"/>
        <v>F</v>
      </c>
      <c r="BR6" s="13" t="str">
        <f t="shared" si="336"/>
        <v>S</v>
      </c>
      <c r="BS6" s="13" t="str">
        <f t="shared" si="336"/>
        <v>S</v>
      </c>
      <c r="BT6" s="13" t="str">
        <f t="shared" si="336"/>
        <v>M</v>
      </c>
      <c r="BU6" s="13" t="str">
        <f t="shared" si="336"/>
        <v>T</v>
      </c>
      <c r="BV6" s="13" t="str">
        <f t="shared" si="336"/>
        <v>W</v>
      </c>
      <c r="BW6" s="13" t="str">
        <f t="shared" si="336"/>
        <v>T</v>
      </c>
      <c r="BX6" s="13" t="str">
        <f t="shared" si="336"/>
        <v>F</v>
      </c>
      <c r="BY6" s="13" t="str">
        <f t="shared" si="336"/>
        <v>S</v>
      </c>
      <c r="BZ6" s="13" t="str">
        <f t="shared" si="336"/>
        <v>S</v>
      </c>
      <c r="CA6" s="13" t="str">
        <f t="shared" ref="CA6:DB6" si="337">LEFT(TEXT(CA5,"ddd"),1)</f>
        <v>M</v>
      </c>
      <c r="CB6" s="13" t="str">
        <f t="shared" si="337"/>
        <v>T</v>
      </c>
      <c r="CC6" s="13" t="str">
        <f t="shared" si="337"/>
        <v>W</v>
      </c>
      <c r="CD6" s="13" t="str">
        <f t="shared" si="337"/>
        <v>T</v>
      </c>
      <c r="CE6" s="13" t="str">
        <f t="shared" si="337"/>
        <v>F</v>
      </c>
      <c r="CF6" s="13" t="str">
        <f t="shared" si="337"/>
        <v>S</v>
      </c>
      <c r="CG6" s="13" t="str">
        <f t="shared" si="337"/>
        <v>S</v>
      </c>
      <c r="CH6" s="13" t="str">
        <f t="shared" si="337"/>
        <v>M</v>
      </c>
      <c r="CI6" s="13" t="str">
        <f t="shared" si="337"/>
        <v>T</v>
      </c>
      <c r="CJ6" s="13" t="str">
        <f t="shared" si="337"/>
        <v>W</v>
      </c>
      <c r="CK6" s="13" t="str">
        <f t="shared" si="337"/>
        <v>T</v>
      </c>
      <c r="CL6" s="13" t="str">
        <f t="shared" si="337"/>
        <v>F</v>
      </c>
      <c r="CM6" s="13" t="str">
        <f t="shared" si="337"/>
        <v>S</v>
      </c>
      <c r="CN6" s="13" t="str">
        <f t="shared" si="337"/>
        <v>S</v>
      </c>
      <c r="CO6" s="13" t="str">
        <f t="shared" si="337"/>
        <v>M</v>
      </c>
      <c r="CP6" s="13" t="str">
        <f t="shared" si="337"/>
        <v>T</v>
      </c>
      <c r="CQ6" s="13" t="str">
        <f t="shared" si="337"/>
        <v>W</v>
      </c>
      <c r="CR6" s="13" t="str">
        <f t="shared" si="337"/>
        <v>T</v>
      </c>
      <c r="CS6" s="13" t="str">
        <f t="shared" si="337"/>
        <v>F</v>
      </c>
      <c r="CT6" s="13" t="str">
        <f t="shared" si="337"/>
        <v>S</v>
      </c>
      <c r="CU6" s="13" t="str">
        <f t="shared" si="337"/>
        <v>S</v>
      </c>
      <c r="CV6" s="13" t="str">
        <f t="shared" si="337"/>
        <v>M</v>
      </c>
      <c r="CW6" s="13" t="str">
        <f t="shared" si="337"/>
        <v>T</v>
      </c>
      <c r="CX6" s="13" t="str">
        <f t="shared" si="337"/>
        <v>W</v>
      </c>
      <c r="CY6" s="13" t="str">
        <f t="shared" si="337"/>
        <v>T</v>
      </c>
      <c r="CZ6" s="13" t="str">
        <f t="shared" si="337"/>
        <v>F</v>
      </c>
      <c r="DA6" s="13" t="str">
        <f t="shared" si="337"/>
        <v>S</v>
      </c>
      <c r="DB6" s="13" t="str">
        <f t="shared" si="337"/>
        <v>S</v>
      </c>
      <c r="DC6" s="13" t="str">
        <f t="shared" ref="DC6:DP6" si="338">LEFT(TEXT(DC5,"ddd"),1)</f>
        <v>M</v>
      </c>
      <c r="DD6" s="13" t="str">
        <f t="shared" si="338"/>
        <v>T</v>
      </c>
      <c r="DE6" s="13" t="str">
        <f t="shared" si="338"/>
        <v>W</v>
      </c>
      <c r="DF6" s="13" t="str">
        <f t="shared" si="338"/>
        <v>T</v>
      </c>
      <c r="DG6" s="13" t="str">
        <f t="shared" si="338"/>
        <v>F</v>
      </c>
      <c r="DH6" s="13" t="str">
        <f t="shared" si="338"/>
        <v>S</v>
      </c>
      <c r="DI6" s="13" t="str">
        <f t="shared" si="338"/>
        <v>S</v>
      </c>
      <c r="DJ6" s="13" t="str">
        <f t="shared" si="338"/>
        <v>M</v>
      </c>
      <c r="DK6" s="13" t="str">
        <f t="shared" si="338"/>
        <v>T</v>
      </c>
      <c r="DL6" s="13" t="str">
        <f t="shared" si="338"/>
        <v>W</v>
      </c>
      <c r="DM6" s="13" t="str">
        <f t="shared" si="338"/>
        <v>T</v>
      </c>
      <c r="DN6" s="13" t="str">
        <f t="shared" si="338"/>
        <v>F</v>
      </c>
      <c r="DO6" s="13" t="str">
        <f t="shared" si="338"/>
        <v>S</v>
      </c>
      <c r="DP6" s="13" t="str">
        <f t="shared" si="338"/>
        <v>S</v>
      </c>
      <c r="DQ6" s="13" t="str">
        <f t="shared" ref="DQ6:ER6" si="339">LEFT(TEXT(DQ5,"ddd"),1)</f>
        <v>M</v>
      </c>
      <c r="DR6" s="13" t="str">
        <f t="shared" si="339"/>
        <v>T</v>
      </c>
      <c r="DS6" s="13" t="str">
        <f t="shared" si="339"/>
        <v>W</v>
      </c>
      <c r="DT6" s="13" t="str">
        <f t="shared" si="339"/>
        <v>T</v>
      </c>
      <c r="DU6" s="13" t="str">
        <f t="shared" si="339"/>
        <v>F</v>
      </c>
      <c r="DV6" s="13" t="str">
        <f t="shared" si="339"/>
        <v>S</v>
      </c>
      <c r="DW6" s="13" t="str">
        <f t="shared" si="339"/>
        <v>S</v>
      </c>
      <c r="DX6" s="13" t="str">
        <f t="shared" si="339"/>
        <v>M</v>
      </c>
      <c r="DY6" s="13" t="str">
        <f t="shared" si="339"/>
        <v>T</v>
      </c>
      <c r="DZ6" s="13" t="str">
        <f t="shared" si="339"/>
        <v>W</v>
      </c>
      <c r="EA6" s="13" t="str">
        <f t="shared" si="339"/>
        <v>T</v>
      </c>
      <c r="EB6" s="13" t="str">
        <f t="shared" si="339"/>
        <v>F</v>
      </c>
      <c r="EC6" s="13" t="str">
        <f t="shared" si="339"/>
        <v>S</v>
      </c>
      <c r="ED6" s="13" t="str">
        <f t="shared" si="339"/>
        <v>S</v>
      </c>
      <c r="EE6" s="13" t="str">
        <f t="shared" si="339"/>
        <v>M</v>
      </c>
      <c r="EF6" s="13" t="str">
        <f t="shared" si="339"/>
        <v>T</v>
      </c>
      <c r="EG6" s="13" t="str">
        <f t="shared" si="339"/>
        <v>W</v>
      </c>
      <c r="EH6" s="13" t="str">
        <f t="shared" si="339"/>
        <v>T</v>
      </c>
      <c r="EI6" s="13" t="str">
        <f t="shared" si="339"/>
        <v>F</v>
      </c>
      <c r="EJ6" s="13" t="str">
        <f t="shared" si="339"/>
        <v>S</v>
      </c>
      <c r="EK6" s="13" t="str">
        <f t="shared" si="339"/>
        <v>S</v>
      </c>
      <c r="EL6" s="13" t="str">
        <f t="shared" si="339"/>
        <v>M</v>
      </c>
      <c r="EM6" s="13" t="str">
        <f t="shared" si="339"/>
        <v>T</v>
      </c>
      <c r="EN6" s="13" t="str">
        <f t="shared" si="339"/>
        <v>W</v>
      </c>
      <c r="EO6" s="13" t="str">
        <f t="shared" si="339"/>
        <v>T</v>
      </c>
      <c r="EP6" s="13" t="str">
        <f t="shared" si="339"/>
        <v>F</v>
      </c>
      <c r="EQ6" s="13" t="str">
        <f t="shared" si="339"/>
        <v>S</v>
      </c>
      <c r="ER6" s="13" t="str">
        <f t="shared" si="339"/>
        <v>S</v>
      </c>
      <c r="ES6" s="13" t="str">
        <f t="shared" ref="ES6:GV6" si="340">LEFT(TEXT(ES5,"ddd"),1)</f>
        <v>M</v>
      </c>
      <c r="ET6" s="13" t="str">
        <f t="shared" si="340"/>
        <v>T</v>
      </c>
      <c r="EU6" s="13" t="str">
        <f t="shared" si="340"/>
        <v>W</v>
      </c>
      <c r="EV6" s="13" t="str">
        <f t="shared" si="340"/>
        <v>T</v>
      </c>
      <c r="EW6" s="13" t="str">
        <f t="shared" si="340"/>
        <v>F</v>
      </c>
      <c r="EX6" s="13" t="str">
        <f t="shared" si="340"/>
        <v>S</v>
      </c>
      <c r="EY6" s="13" t="str">
        <f t="shared" si="340"/>
        <v>S</v>
      </c>
      <c r="EZ6" s="13" t="str">
        <f t="shared" si="340"/>
        <v>M</v>
      </c>
      <c r="FA6" s="13" t="str">
        <f t="shared" si="340"/>
        <v>T</v>
      </c>
      <c r="FB6" s="13" t="str">
        <f t="shared" si="340"/>
        <v>W</v>
      </c>
      <c r="FC6" s="13" t="str">
        <f t="shared" si="340"/>
        <v>T</v>
      </c>
      <c r="FD6" s="13" t="str">
        <f t="shared" si="340"/>
        <v>F</v>
      </c>
      <c r="FE6" s="13" t="str">
        <f t="shared" si="340"/>
        <v>S</v>
      </c>
      <c r="FF6" s="13" t="str">
        <f t="shared" si="340"/>
        <v>S</v>
      </c>
      <c r="FG6" s="13" t="str">
        <f t="shared" si="340"/>
        <v>M</v>
      </c>
      <c r="FH6" s="13" t="str">
        <f t="shared" si="340"/>
        <v>T</v>
      </c>
      <c r="FI6" s="13" t="str">
        <f t="shared" si="340"/>
        <v>W</v>
      </c>
      <c r="FJ6" s="13" t="str">
        <f t="shared" si="340"/>
        <v>T</v>
      </c>
      <c r="FK6" s="13" t="str">
        <f t="shared" si="340"/>
        <v>F</v>
      </c>
      <c r="FL6" s="13" t="str">
        <f t="shared" si="340"/>
        <v>S</v>
      </c>
      <c r="FM6" s="13" t="str">
        <f t="shared" si="340"/>
        <v>S</v>
      </c>
      <c r="FN6" s="13" t="str">
        <f t="shared" si="340"/>
        <v>M</v>
      </c>
      <c r="FO6" s="13" t="str">
        <f t="shared" si="340"/>
        <v>T</v>
      </c>
      <c r="FP6" s="13" t="str">
        <f t="shared" si="340"/>
        <v>W</v>
      </c>
      <c r="FQ6" s="13" t="str">
        <f t="shared" si="340"/>
        <v>T</v>
      </c>
      <c r="FR6" s="13" t="str">
        <f t="shared" si="340"/>
        <v>F</v>
      </c>
      <c r="FS6" s="13" t="str">
        <f t="shared" si="340"/>
        <v>S</v>
      </c>
      <c r="FT6" s="13" t="str">
        <f t="shared" si="340"/>
        <v>S</v>
      </c>
      <c r="FU6" s="13" t="str">
        <f t="shared" si="340"/>
        <v>M</v>
      </c>
      <c r="FV6" s="13" t="str">
        <f t="shared" si="340"/>
        <v>T</v>
      </c>
      <c r="FW6" s="13" t="str">
        <f t="shared" si="340"/>
        <v>W</v>
      </c>
      <c r="FX6" s="13" t="str">
        <f t="shared" si="340"/>
        <v>T</v>
      </c>
      <c r="FY6" s="13" t="str">
        <f t="shared" si="340"/>
        <v>F</v>
      </c>
      <c r="FZ6" s="13" t="str">
        <f t="shared" si="340"/>
        <v>S</v>
      </c>
      <c r="GA6" s="13" t="str">
        <f t="shared" si="340"/>
        <v>S</v>
      </c>
      <c r="GB6" s="13" t="str">
        <f t="shared" si="340"/>
        <v>M</v>
      </c>
      <c r="GC6" s="13" t="str">
        <f t="shared" si="340"/>
        <v>T</v>
      </c>
      <c r="GD6" s="13" t="str">
        <f t="shared" si="340"/>
        <v>W</v>
      </c>
      <c r="GE6" s="13" t="str">
        <f t="shared" si="340"/>
        <v>T</v>
      </c>
      <c r="GF6" s="13" t="str">
        <f t="shared" si="340"/>
        <v>F</v>
      </c>
      <c r="GG6" s="13" t="str">
        <f t="shared" si="340"/>
        <v>S</v>
      </c>
      <c r="GH6" s="13" t="str">
        <f t="shared" si="340"/>
        <v>S</v>
      </c>
      <c r="GI6" s="13" t="str">
        <f t="shared" si="340"/>
        <v>M</v>
      </c>
      <c r="GJ6" s="13" t="str">
        <f t="shared" si="340"/>
        <v>T</v>
      </c>
      <c r="GK6" s="13" t="str">
        <f t="shared" si="340"/>
        <v>W</v>
      </c>
      <c r="GL6" s="13" t="str">
        <f t="shared" si="340"/>
        <v>T</v>
      </c>
      <c r="GM6" s="13" t="str">
        <f t="shared" si="340"/>
        <v>F</v>
      </c>
      <c r="GN6" s="13" t="str">
        <f t="shared" si="340"/>
        <v>S</v>
      </c>
      <c r="GO6" s="13" t="str">
        <f t="shared" si="340"/>
        <v>S</v>
      </c>
      <c r="GP6" s="13" t="str">
        <f t="shared" si="340"/>
        <v>M</v>
      </c>
      <c r="GQ6" s="13" t="str">
        <f t="shared" si="340"/>
        <v>T</v>
      </c>
      <c r="GR6" s="13" t="str">
        <f t="shared" si="340"/>
        <v>W</v>
      </c>
      <c r="GS6" s="13" t="str">
        <f t="shared" si="340"/>
        <v>T</v>
      </c>
      <c r="GT6" s="13" t="str">
        <f t="shared" si="340"/>
        <v>F</v>
      </c>
      <c r="GU6" s="13" t="str">
        <f t="shared" si="340"/>
        <v>S</v>
      </c>
      <c r="GV6" s="13" t="str">
        <f t="shared" si="340"/>
        <v>S</v>
      </c>
      <c r="GW6" s="13" t="str">
        <f t="shared" ref="GW6:JH6" si="341">LEFT(TEXT(GW5,"ddd"),1)</f>
        <v>M</v>
      </c>
      <c r="GX6" s="13" t="str">
        <f t="shared" si="341"/>
        <v>T</v>
      </c>
      <c r="GY6" s="13" t="str">
        <f t="shared" si="341"/>
        <v>W</v>
      </c>
      <c r="GZ6" s="13" t="str">
        <f t="shared" si="341"/>
        <v>T</v>
      </c>
      <c r="HA6" s="13" t="str">
        <f t="shared" si="341"/>
        <v>F</v>
      </c>
      <c r="HB6" s="13" t="str">
        <f t="shared" si="341"/>
        <v>S</v>
      </c>
      <c r="HC6" s="13" t="str">
        <f t="shared" si="341"/>
        <v>S</v>
      </c>
      <c r="HD6" s="13" t="str">
        <f t="shared" si="341"/>
        <v>M</v>
      </c>
      <c r="HE6" s="13" t="str">
        <f t="shared" si="341"/>
        <v>T</v>
      </c>
      <c r="HF6" s="13" t="str">
        <f t="shared" si="341"/>
        <v>W</v>
      </c>
      <c r="HG6" s="13" t="str">
        <f t="shared" si="341"/>
        <v>T</v>
      </c>
      <c r="HH6" s="13" t="str">
        <f t="shared" si="341"/>
        <v>F</v>
      </c>
      <c r="HI6" s="13" t="str">
        <f t="shared" si="341"/>
        <v>S</v>
      </c>
      <c r="HJ6" s="13" t="str">
        <f t="shared" si="341"/>
        <v>S</v>
      </c>
      <c r="HK6" s="13" t="str">
        <f t="shared" si="341"/>
        <v>M</v>
      </c>
      <c r="HL6" s="13" t="str">
        <f t="shared" si="341"/>
        <v>T</v>
      </c>
      <c r="HM6" s="13" t="str">
        <f t="shared" si="341"/>
        <v>W</v>
      </c>
      <c r="HN6" s="13" t="str">
        <f t="shared" si="341"/>
        <v>T</v>
      </c>
      <c r="HO6" s="13" t="str">
        <f t="shared" si="341"/>
        <v>F</v>
      </c>
      <c r="HP6" s="13" t="str">
        <f t="shared" si="341"/>
        <v>S</v>
      </c>
      <c r="HQ6" s="13" t="str">
        <f t="shared" si="341"/>
        <v>S</v>
      </c>
      <c r="HR6" s="13" t="str">
        <f t="shared" si="341"/>
        <v>M</v>
      </c>
      <c r="HS6" s="13" t="str">
        <f t="shared" si="341"/>
        <v>T</v>
      </c>
      <c r="HT6" s="13" t="str">
        <f t="shared" si="341"/>
        <v>W</v>
      </c>
      <c r="HU6" s="13" t="str">
        <f t="shared" si="341"/>
        <v>T</v>
      </c>
      <c r="HV6" s="13" t="str">
        <f t="shared" si="341"/>
        <v>F</v>
      </c>
      <c r="HW6" s="13" t="str">
        <f t="shared" si="341"/>
        <v>S</v>
      </c>
      <c r="HX6" s="13" t="str">
        <f t="shared" si="341"/>
        <v>S</v>
      </c>
      <c r="HY6" s="13" t="str">
        <f t="shared" si="341"/>
        <v>M</v>
      </c>
      <c r="HZ6" s="13" t="str">
        <f t="shared" si="341"/>
        <v>T</v>
      </c>
      <c r="IA6" s="13" t="str">
        <f t="shared" si="341"/>
        <v>W</v>
      </c>
      <c r="IB6" s="13" t="str">
        <f t="shared" si="341"/>
        <v>T</v>
      </c>
      <c r="IC6" s="13" t="str">
        <f t="shared" si="341"/>
        <v>F</v>
      </c>
      <c r="ID6" s="13" t="str">
        <f t="shared" si="341"/>
        <v>S</v>
      </c>
      <c r="IE6" s="13" t="str">
        <f t="shared" si="341"/>
        <v>S</v>
      </c>
      <c r="IF6" s="13" t="str">
        <f t="shared" si="341"/>
        <v>M</v>
      </c>
      <c r="IG6" s="13" t="str">
        <f t="shared" si="341"/>
        <v>T</v>
      </c>
      <c r="IH6" s="13" t="str">
        <f t="shared" si="341"/>
        <v>W</v>
      </c>
      <c r="II6" s="13" t="str">
        <f t="shared" si="341"/>
        <v>T</v>
      </c>
      <c r="IJ6" s="13" t="str">
        <f t="shared" si="341"/>
        <v>F</v>
      </c>
      <c r="IK6" s="13" t="str">
        <f t="shared" si="341"/>
        <v>S</v>
      </c>
      <c r="IL6" s="13" t="str">
        <f t="shared" si="341"/>
        <v>S</v>
      </c>
      <c r="IM6" s="13" t="str">
        <f t="shared" si="341"/>
        <v>M</v>
      </c>
      <c r="IN6" s="13" t="str">
        <f t="shared" si="341"/>
        <v>T</v>
      </c>
      <c r="IO6" s="13" t="str">
        <f t="shared" si="341"/>
        <v>W</v>
      </c>
      <c r="IP6" s="13" t="str">
        <f t="shared" si="341"/>
        <v>T</v>
      </c>
      <c r="IQ6" s="13" t="str">
        <f t="shared" si="341"/>
        <v>F</v>
      </c>
      <c r="IR6" s="13" t="str">
        <f t="shared" si="341"/>
        <v>S</v>
      </c>
      <c r="IS6" s="13" t="str">
        <f t="shared" si="341"/>
        <v>S</v>
      </c>
      <c r="IT6" s="13" t="str">
        <f t="shared" si="341"/>
        <v>M</v>
      </c>
      <c r="IU6" s="13" t="str">
        <f t="shared" si="341"/>
        <v>T</v>
      </c>
      <c r="IV6" s="13" t="str">
        <f t="shared" si="341"/>
        <v>W</v>
      </c>
      <c r="IW6" s="13" t="str">
        <f t="shared" si="341"/>
        <v>T</v>
      </c>
      <c r="IX6" s="13" t="str">
        <f t="shared" si="341"/>
        <v>F</v>
      </c>
      <c r="IY6" s="13" t="str">
        <f t="shared" si="341"/>
        <v>S</v>
      </c>
      <c r="IZ6" s="13" t="str">
        <f t="shared" si="341"/>
        <v>S</v>
      </c>
      <c r="JA6" s="13" t="str">
        <f t="shared" si="341"/>
        <v>M</v>
      </c>
      <c r="JB6" s="13" t="str">
        <f t="shared" si="341"/>
        <v>T</v>
      </c>
      <c r="JC6" s="13" t="str">
        <f t="shared" si="341"/>
        <v>W</v>
      </c>
      <c r="JD6" s="13" t="str">
        <f t="shared" si="341"/>
        <v>T</v>
      </c>
      <c r="JE6" s="13" t="str">
        <f t="shared" si="341"/>
        <v>F</v>
      </c>
      <c r="JF6" s="13" t="str">
        <f t="shared" si="341"/>
        <v>S</v>
      </c>
      <c r="JG6" s="13" t="str">
        <f t="shared" si="341"/>
        <v>S</v>
      </c>
      <c r="JH6" s="13" t="str">
        <f t="shared" si="341"/>
        <v>M</v>
      </c>
      <c r="JI6" s="13" t="str">
        <f t="shared" ref="JI6:KI6" si="342">LEFT(TEXT(JI5,"ddd"),1)</f>
        <v>T</v>
      </c>
      <c r="JJ6" s="13" t="str">
        <f t="shared" si="342"/>
        <v>W</v>
      </c>
      <c r="JK6" s="13" t="str">
        <f t="shared" si="342"/>
        <v>T</v>
      </c>
      <c r="JL6" s="13" t="str">
        <f t="shared" si="342"/>
        <v>F</v>
      </c>
      <c r="JM6" s="13" t="str">
        <f t="shared" si="342"/>
        <v>S</v>
      </c>
      <c r="JN6" s="13" t="str">
        <f t="shared" si="342"/>
        <v>S</v>
      </c>
      <c r="JO6" s="13" t="str">
        <f t="shared" si="342"/>
        <v>M</v>
      </c>
      <c r="JP6" s="13" t="str">
        <f t="shared" si="342"/>
        <v>T</v>
      </c>
      <c r="JQ6" s="13" t="str">
        <f t="shared" si="342"/>
        <v>W</v>
      </c>
      <c r="JR6" s="13" t="str">
        <f t="shared" si="342"/>
        <v>T</v>
      </c>
      <c r="JS6" s="13" t="str">
        <f t="shared" si="342"/>
        <v>F</v>
      </c>
      <c r="JT6" s="13" t="str">
        <f t="shared" si="342"/>
        <v>S</v>
      </c>
      <c r="JU6" s="13" t="str">
        <f t="shared" si="342"/>
        <v>S</v>
      </c>
      <c r="JV6" s="13" t="str">
        <f t="shared" si="342"/>
        <v>M</v>
      </c>
      <c r="JW6" s="13" t="str">
        <f t="shared" si="342"/>
        <v>T</v>
      </c>
      <c r="JX6" s="13" t="str">
        <f t="shared" si="342"/>
        <v>W</v>
      </c>
      <c r="JY6" s="13" t="str">
        <f t="shared" si="342"/>
        <v>T</v>
      </c>
      <c r="JZ6" s="13" t="str">
        <f t="shared" si="342"/>
        <v>F</v>
      </c>
      <c r="KA6" s="13" t="str">
        <f t="shared" si="342"/>
        <v>S</v>
      </c>
      <c r="KB6" s="13" t="str">
        <f t="shared" si="342"/>
        <v>S</v>
      </c>
      <c r="KC6" s="13" t="str">
        <f t="shared" si="342"/>
        <v>M</v>
      </c>
      <c r="KD6" s="13" t="str">
        <f t="shared" si="342"/>
        <v>T</v>
      </c>
      <c r="KE6" s="13" t="str">
        <f t="shared" si="342"/>
        <v>W</v>
      </c>
      <c r="KF6" s="13" t="str">
        <f t="shared" si="342"/>
        <v>T</v>
      </c>
      <c r="KG6" s="13" t="str">
        <f t="shared" si="342"/>
        <v>F</v>
      </c>
      <c r="KH6" s="13" t="str">
        <f t="shared" si="342"/>
        <v>S</v>
      </c>
      <c r="KI6" s="13" t="str">
        <f t="shared" si="342"/>
        <v>S</v>
      </c>
      <c r="KJ6" s="13" t="str">
        <f t="shared" ref="KJ6:KW6" si="343">LEFT(TEXT(KJ5,"ddd"),1)</f>
        <v>M</v>
      </c>
      <c r="KK6" s="13" t="str">
        <f t="shared" si="343"/>
        <v>T</v>
      </c>
      <c r="KL6" s="13" t="str">
        <f t="shared" si="343"/>
        <v>W</v>
      </c>
      <c r="KM6" s="13" t="str">
        <f t="shared" si="343"/>
        <v>T</v>
      </c>
      <c r="KN6" s="13" t="str">
        <f t="shared" si="343"/>
        <v>F</v>
      </c>
      <c r="KO6" s="13" t="str">
        <f t="shared" si="343"/>
        <v>S</v>
      </c>
      <c r="KP6" s="13" t="str">
        <f t="shared" si="343"/>
        <v>S</v>
      </c>
      <c r="KQ6" s="13" t="str">
        <f t="shared" si="343"/>
        <v>M</v>
      </c>
      <c r="KR6" s="13" t="str">
        <f t="shared" si="343"/>
        <v>T</v>
      </c>
      <c r="KS6" s="13" t="str">
        <f t="shared" si="343"/>
        <v>W</v>
      </c>
      <c r="KT6" s="13" t="str">
        <f t="shared" si="343"/>
        <v>T</v>
      </c>
      <c r="KU6" s="13" t="str">
        <f t="shared" si="343"/>
        <v>F</v>
      </c>
      <c r="KV6" s="13" t="str">
        <f t="shared" si="343"/>
        <v>S</v>
      </c>
      <c r="KW6" s="13" t="str">
        <f t="shared" si="343"/>
        <v>S</v>
      </c>
      <c r="KX6" s="13" t="str">
        <f t="shared" ref="KX6:LY6" si="344">LEFT(TEXT(KX5,"ddd"),1)</f>
        <v>M</v>
      </c>
      <c r="KY6" s="13" t="str">
        <f t="shared" si="344"/>
        <v>T</v>
      </c>
      <c r="KZ6" s="13" t="str">
        <f t="shared" si="344"/>
        <v>W</v>
      </c>
      <c r="LA6" s="13" t="str">
        <f t="shared" si="344"/>
        <v>T</v>
      </c>
      <c r="LB6" s="13" t="str">
        <f t="shared" si="344"/>
        <v>F</v>
      </c>
      <c r="LC6" s="13" t="str">
        <f t="shared" si="344"/>
        <v>S</v>
      </c>
      <c r="LD6" s="13" t="str">
        <f t="shared" si="344"/>
        <v>S</v>
      </c>
      <c r="LE6" s="13" t="str">
        <f t="shared" si="344"/>
        <v>M</v>
      </c>
      <c r="LF6" s="13" t="str">
        <f t="shared" si="344"/>
        <v>T</v>
      </c>
      <c r="LG6" s="13" t="str">
        <f t="shared" si="344"/>
        <v>W</v>
      </c>
      <c r="LH6" s="13" t="str">
        <f t="shared" si="344"/>
        <v>T</v>
      </c>
      <c r="LI6" s="13" t="str">
        <f t="shared" si="344"/>
        <v>F</v>
      </c>
      <c r="LJ6" s="13" t="str">
        <f t="shared" si="344"/>
        <v>S</v>
      </c>
      <c r="LK6" s="13" t="str">
        <f t="shared" si="344"/>
        <v>S</v>
      </c>
      <c r="LL6" s="13" t="str">
        <f t="shared" si="344"/>
        <v>M</v>
      </c>
      <c r="LM6" s="13" t="str">
        <f t="shared" si="344"/>
        <v>T</v>
      </c>
      <c r="LN6" s="13" t="str">
        <f t="shared" si="344"/>
        <v>W</v>
      </c>
      <c r="LO6" s="13" t="str">
        <f t="shared" si="344"/>
        <v>T</v>
      </c>
      <c r="LP6" s="13" t="str">
        <f t="shared" si="344"/>
        <v>F</v>
      </c>
      <c r="LQ6" s="13" t="str">
        <f t="shared" si="344"/>
        <v>S</v>
      </c>
      <c r="LR6" s="13" t="str">
        <f t="shared" si="344"/>
        <v>S</v>
      </c>
      <c r="LS6" s="13" t="str">
        <f t="shared" si="344"/>
        <v>M</v>
      </c>
      <c r="LT6" s="13" t="str">
        <f t="shared" si="344"/>
        <v>T</v>
      </c>
      <c r="LU6" s="13" t="str">
        <f t="shared" si="344"/>
        <v>W</v>
      </c>
      <c r="LV6" s="13" t="str">
        <f t="shared" si="344"/>
        <v>T</v>
      </c>
      <c r="LW6" s="13" t="str">
        <f t="shared" si="344"/>
        <v>F</v>
      </c>
      <c r="LX6" s="13" t="str">
        <f t="shared" si="344"/>
        <v>S</v>
      </c>
      <c r="LY6" s="13" t="str">
        <f t="shared" si="344"/>
        <v>S</v>
      </c>
      <c r="LZ6" s="13" t="str">
        <f t="shared" ref="LZ6:NA6" si="345">LEFT(TEXT(LZ5,"ddd"),1)</f>
        <v>M</v>
      </c>
      <c r="MA6" s="13" t="str">
        <f t="shared" si="345"/>
        <v>T</v>
      </c>
      <c r="MB6" s="13" t="str">
        <f t="shared" si="345"/>
        <v>W</v>
      </c>
      <c r="MC6" s="13" t="str">
        <f t="shared" si="345"/>
        <v>T</v>
      </c>
      <c r="MD6" s="13" t="str">
        <f t="shared" si="345"/>
        <v>F</v>
      </c>
      <c r="ME6" s="13" t="str">
        <f t="shared" si="345"/>
        <v>S</v>
      </c>
      <c r="MF6" s="13" t="str">
        <f t="shared" si="345"/>
        <v>S</v>
      </c>
      <c r="MG6" s="13" t="str">
        <f t="shared" si="345"/>
        <v>M</v>
      </c>
      <c r="MH6" s="13" t="str">
        <f t="shared" si="345"/>
        <v>T</v>
      </c>
      <c r="MI6" s="13" t="str">
        <f t="shared" si="345"/>
        <v>W</v>
      </c>
      <c r="MJ6" s="13" t="str">
        <f t="shared" si="345"/>
        <v>T</v>
      </c>
      <c r="MK6" s="13" t="str">
        <f t="shared" si="345"/>
        <v>F</v>
      </c>
      <c r="ML6" s="13" t="str">
        <f t="shared" si="345"/>
        <v>S</v>
      </c>
      <c r="MM6" s="13" t="str">
        <f t="shared" si="345"/>
        <v>S</v>
      </c>
      <c r="MN6" s="13" t="str">
        <f t="shared" si="345"/>
        <v>M</v>
      </c>
      <c r="MO6" s="13" t="str">
        <f t="shared" si="345"/>
        <v>T</v>
      </c>
      <c r="MP6" s="13" t="str">
        <f t="shared" si="345"/>
        <v>W</v>
      </c>
      <c r="MQ6" s="13" t="str">
        <f t="shared" si="345"/>
        <v>T</v>
      </c>
      <c r="MR6" s="13" t="str">
        <f t="shared" si="345"/>
        <v>F</v>
      </c>
      <c r="MS6" s="13" t="str">
        <f t="shared" si="345"/>
        <v>S</v>
      </c>
      <c r="MT6" s="13" t="str">
        <f t="shared" si="345"/>
        <v>S</v>
      </c>
      <c r="MU6" s="13" t="str">
        <f t="shared" si="345"/>
        <v>M</v>
      </c>
      <c r="MV6" s="13" t="str">
        <f t="shared" si="345"/>
        <v>T</v>
      </c>
      <c r="MW6" s="13" t="str">
        <f t="shared" si="345"/>
        <v>W</v>
      </c>
      <c r="MX6" s="13" t="str">
        <f t="shared" si="345"/>
        <v>T</v>
      </c>
      <c r="MY6" s="13" t="str">
        <f t="shared" si="345"/>
        <v>F</v>
      </c>
      <c r="MZ6" s="13" t="str">
        <f t="shared" si="345"/>
        <v>S</v>
      </c>
      <c r="NA6" s="13" t="str">
        <f t="shared" si="345"/>
        <v>S</v>
      </c>
    </row>
    <row r="7" spans="1:365" ht="30" hidden="1" customHeight="1" thickBot="1" x14ac:dyDescent="0.3">
      <c r="A7" s="41" t="s">
        <v>16</v>
      </c>
      <c r="C7" s="45"/>
      <c r="E7"/>
      <c r="H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c r="IN7" s="28"/>
      <c r="IO7" s="28"/>
      <c r="IP7" s="28"/>
      <c r="IQ7" s="28"/>
      <c r="IR7" s="28"/>
      <c r="IS7" s="28"/>
      <c r="IT7" s="28"/>
      <c r="IU7" s="28"/>
      <c r="IV7" s="28"/>
      <c r="IW7" s="28"/>
      <c r="IX7" s="28"/>
      <c r="IY7" s="28"/>
      <c r="IZ7" s="28"/>
      <c r="JA7" s="28"/>
      <c r="JB7" s="28"/>
      <c r="JC7" s="28"/>
      <c r="JD7" s="28"/>
      <c r="JE7" s="28"/>
      <c r="JF7" s="28"/>
      <c r="JG7" s="28"/>
      <c r="JH7" s="28"/>
      <c r="JI7" s="28"/>
      <c r="JJ7" s="28"/>
      <c r="JK7" s="28"/>
      <c r="JL7" s="28"/>
      <c r="JM7" s="28"/>
      <c r="JN7" s="28"/>
      <c r="JO7" s="28"/>
      <c r="JP7" s="28"/>
      <c r="JQ7" s="28"/>
      <c r="JR7" s="28"/>
      <c r="JS7" s="28"/>
      <c r="JT7" s="28"/>
      <c r="JU7" s="28"/>
      <c r="JV7" s="28"/>
      <c r="JW7" s="28"/>
      <c r="JX7" s="28"/>
      <c r="JY7" s="28"/>
      <c r="JZ7" s="28"/>
      <c r="KA7" s="28"/>
      <c r="KB7" s="28"/>
      <c r="KC7" s="28"/>
      <c r="KD7" s="28"/>
      <c r="KE7" s="28"/>
      <c r="KF7" s="28"/>
      <c r="KG7" s="28"/>
      <c r="KH7" s="28"/>
      <c r="KI7" s="28"/>
      <c r="KJ7" s="28"/>
      <c r="KK7" s="28"/>
      <c r="KL7" s="28"/>
      <c r="KM7" s="28"/>
      <c r="KN7" s="28"/>
      <c r="KO7" s="28"/>
      <c r="KP7" s="28"/>
      <c r="KQ7" s="28"/>
      <c r="KR7" s="28"/>
      <c r="KS7" s="28"/>
      <c r="KT7" s="28"/>
      <c r="KU7" s="28"/>
      <c r="KV7" s="28"/>
      <c r="KW7" s="28"/>
      <c r="KX7" s="28"/>
      <c r="KY7" s="28"/>
      <c r="KZ7" s="28"/>
      <c r="LA7" s="28"/>
      <c r="LB7" s="28"/>
      <c r="LC7" s="28"/>
      <c r="LD7" s="28"/>
      <c r="LE7" s="28"/>
      <c r="LF7" s="28"/>
      <c r="LG7" s="28"/>
      <c r="LH7" s="28"/>
      <c r="LI7" s="28"/>
      <c r="LJ7" s="28"/>
      <c r="LK7" s="28"/>
      <c r="LL7" s="28"/>
      <c r="LM7" s="28"/>
      <c r="LN7" s="28"/>
      <c r="LO7" s="28"/>
      <c r="LP7" s="28"/>
      <c r="LQ7" s="28"/>
      <c r="LR7" s="28"/>
      <c r="LS7" s="28"/>
      <c r="LT7" s="28"/>
      <c r="LU7" s="28"/>
      <c r="LV7" s="28"/>
      <c r="LW7" s="28"/>
      <c r="LX7" s="28"/>
      <c r="LY7" s="28"/>
      <c r="LZ7" s="28"/>
      <c r="MA7" s="28"/>
      <c r="MB7" s="28"/>
      <c r="MC7" s="28"/>
      <c r="MD7" s="28"/>
      <c r="ME7" s="28"/>
      <c r="MF7" s="28"/>
      <c r="MG7" s="28"/>
      <c r="MH7" s="28"/>
      <c r="MI7" s="28"/>
      <c r="MJ7" s="28"/>
      <c r="MK7" s="28"/>
      <c r="ML7" s="28"/>
      <c r="MM7" s="28"/>
      <c r="MN7" s="28"/>
      <c r="MO7" s="28"/>
      <c r="MP7" s="28"/>
      <c r="MQ7" s="28"/>
      <c r="MR7" s="28"/>
      <c r="MS7" s="28"/>
      <c r="MT7" s="28"/>
      <c r="MU7" s="28"/>
      <c r="MV7" s="28"/>
      <c r="MW7" s="28"/>
      <c r="MX7" s="28"/>
      <c r="MY7" s="28"/>
      <c r="MZ7" s="28"/>
      <c r="NA7" s="28"/>
    </row>
    <row r="8" spans="1:365" s="3" customFormat="1" ht="30" customHeight="1" thickBot="1" x14ac:dyDescent="0.3">
      <c r="A8" s="42" t="s">
        <v>17</v>
      </c>
      <c r="B8" s="64" t="s">
        <v>18</v>
      </c>
      <c r="C8" s="50"/>
      <c r="D8" s="18"/>
      <c r="E8" s="19"/>
      <c r="F8" s="20"/>
      <c r="G8" s="17"/>
      <c r="H8" s="17" t="str">
        <f t="shared" ref="H8:H42" si="346">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28"/>
      <c r="JL8" s="28"/>
      <c r="JM8" s="28"/>
      <c r="JN8" s="28"/>
      <c r="JO8" s="28"/>
      <c r="JP8" s="28"/>
      <c r="JQ8" s="28"/>
      <c r="JR8" s="28"/>
      <c r="JS8" s="28"/>
      <c r="JT8" s="28"/>
      <c r="JU8" s="28"/>
      <c r="JV8" s="28"/>
      <c r="JW8" s="28"/>
      <c r="JX8" s="28"/>
      <c r="JY8" s="28"/>
      <c r="JZ8" s="28"/>
      <c r="KA8" s="28"/>
      <c r="KB8" s="28"/>
      <c r="KC8" s="28"/>
      <c r="KD8" s="28"/>
      <c r="KE8" s="28"/>
      <c r="KF8" s="28"/>
      <c r="KG8" s="28"/>
      <c r="KH8" s="28"/>
      <c r="KI8" s="28"/>
      <c r="KJ8" s="28"/>
      <c r="KK8" s="28"/>
      <c r="KL8" s="28"/>
      <c r="KM8" s="28"/>
      <c r="KN8" s="28"/>
      <c r="KO8" s="28"/>
      <c r="KP8" s="28"/>
      <c r="KQ8" s="28"/>
      <c r="KR8" s="28"/>
      <c r="KS8" s="28"/>
      <c r="KT8" s="28"/>
      <c r="KU8" s="28"/>
      <c r="KV8" s="28"/>
      <c r="KW8" s="28"/>
      <c r="KX8" s="28"/>
      <c r="KY8" s="28"/>
      <c r="KZ8" s="28"/>
      <c r="LA8" s="28"/>
      <c r="LB8" s="28"/>
      <c r="LC8" s="28"/>
      <c r="LD8" s="28"/>
      <c r="LE8" s="28"/>
      <c r="LF8" s="28"/>
      <c r="LG8" s="28"/>
      <c r="LH8" s="28"/>
      <c r="LI8" s="28"/>
      <c r="LJ8" s="28"/>
      <c r="LK8" s="28"/>
      <c r="LL8" s="28"/>
      <c r="LM8" s="28"/>
      <c r="LN8" s="28"/>
      <c r="LO8" s="28"/>
      <c r="LP8" s="28"/>
      <c r="LQ8" s="28"/>
      <c r="LR8" s="28"/>
      <c r="LS8" s="28"/>
      <c r="LT8" s="28"/>
      <c r="LU8" s="28"/>
      <c r="LV8" s="28"/>
      <c r="LW8" s="28"/>
      <c r="LX8" s="28"/>
      <c r="LY8" s="28"/>
      <c r="LZ8" s="28"/>
      <c r="MA8" s="28"/>
      <c r="MB8" s="28"/>
      <c r="MC8" s="28"/>
      <c r="MD8" s="28"/>
      <c r="ME8" s="28"/>
      <c r="MF8" s="28"/>
      <c r="MG8" s="28"/>
      <c r="MH8" s="28"/>
      <c r="MI8" s="28"/>
      <c r="MJ8" s="28"/>
      <c r="MK8" s="28"/>
      <c r="ML8" s="28"/>
      <c r="MM8" s="28"/>
      <c r="MN8" s="28"/>
      <c r="MO8" s="28"/>
      <c r="MP8" s="28"/>
      <c r="MQ8" s="28"/>
      <c r="MR8" s="28"/>
      <c r="MS8" s="28"/>
      <c r="MT8" s="28"/>
      <c r="MU8" s="28"/>
      <c r="MV8" s="28"/>
      <c r="MW8" s="28"/>
      <c r="MX8" s="28"/>
      <c r="MY8" s="28"/>
      <c r="MZ8" s="28"/>
      <c r="NA8" s="28"/>
    </row>
    <row r="9" spans="1:365" s="3" customFormat="1" ht="30" customHeight="1" thickBot="1" x14ac:dyDescent="0.3">
      <c r="A9" s="42" t="s">
        <v>19</v>
      </c>
      <c r="B9" s="58" t="s">
        <v>20</v>
      </c>
      <c r="C9" s="55" t="s">
        <v>21</v>
      </c>
      <c r="D9" s="21">
        <v>1</v>
      </c>
      <c r="E9" s="54">
        <f>Project_Start</f>
        <v>45909</v>
      </c>
      <c r="F9" s="54">
        <v>45925</v>
      </c>
      <c r="G9" s="17"/>
      <c r="H9" s="17">
        <f t="shared" si="346"/>
        <v>17</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c r="IN9" s="28"/>
      <c r="IO9" s="28"/>
      <c r="IP9" s="28"/>
      <c r="IQ9" s="28"/>
      <c r="IR9" s="28"/>
      <c r="IS9" s="28"/>
      <c r="IT9" s="28"/>
      <c r="IU9" s="28"/>
      <c r="IV9" s="28"/>
      <c r="IW9" s="28"/>
      <c r="IX9" s="28"/>
      <c r="IY9" s="28"/>
      <c r="IZ9" s="28"/>
      <c r="JA9" s="28"/>
      <c r="JB9" s="28"/>
      <c r="JC9" s="28"/>
      <c r="JD9" s="28"/>
      <c r="JE9" s="28"/>
      <c r="JF9" s="28"/>
      <c r="JG9" s="28"/>
      <c r="JH9" s="28"/>
      <c r="JI9" s="28"/>
      <c r="JJ9" s="28"/>
      <c r="JK9" s="28"/>
      <c r="JL9" s="28"/>
      <c r="JM9" s="28"/>
      <c r="JN9" s="28"/>
      <c r="JO9" s="28"/>
      <c r="JP9" s="28"/>
      <c r="JQ9" s="28"/>
      <c r="JR9" s="28"/>
      <c r="JS9" s="28"/>
      <c r="JT9" s="28"/>
      <c r="JU9" s="28"/>
      <c r="JV9" s="28"/>
      <c r="JW9" s="28"/>
      <c r="JX9" s="28"/>
      <c r="JY9" s="28"/>
      <c r="JZ9" s="28"/>
      <c r="KA9" s="28"/>
      <c r="KB9" s="28"/>
      <c r="KC9" s="28"/>
      <c r="KD9" s="28"/>
      <c r="KE9" s="28"/>
      <c r="KF9" s="28"/>
      <c r="KG9" s="28"/>
      <c r="KH9" s="28"/>
      <c r="KI9" s="28"/>
      <c r="KJ9" s="28"/>
      <c r="KK9" s="28"/>
      <c r="KL9" s="28"/>
      <c r="KM9" s="28"/>
      <c r="KN9" s="28"/>
      <c r="KO9" s="28"/>
      <c r="KP9" s="28"/>
      <c r="KQ9" s="28"/>
      <c r="KR9" s="28"/>
      <c r="KS9" s="28"/>
      <c r="KT9" s="28"/>
      <c r="KU9" s="28"/>
      <c r="KV9" s="28"/>
      <c r="KW9" s="28"/>
      <c r="KX9" s="28"/>
      <c r="KY9" s="28"/>
      <c r="KZ9" s="28"/>
      <c r="LA9" s="28"/>
      <c r="LB9" s="28"/>
      <c r="LC9" s="28"/>
      <c r="LD9" s="28"/>
      <c r="LE9" s="28"/>
      <c r="LF9" s="28"/>
      <c r="LG9" s="28"/>
      <c r="LH9" s="28"/>
      <c r="LI9" s="28"/>
      <c r="LJ9" s="28"/>
      <c r="LK9" s="28"/>
      <c r="LL9" s="28"/>
      <c r="LM9" s="28"/>
      <c r="LN9" s="28"/>
      <c r="LO9" s="28"/>
      <c r="LP9" s="28"/>
      <c r="LQ9" s="28"/>
      <c r="LR9" s="28"/>
      <c r="LS9" s="28"/>
      <c r="LT9" s="28"/>
      <c r="LU9" s="28"/>
      <c r="LV9" s="28"/>
      <c r="LW9" s="28"/>
      <c r="LX9" s="28"/>
      <c r="LY9" s="28"/>
      <c r="LZ9" s="28"/>
      <c r="MA9" s="28"/>
      <c r="MB9" s="28"/>
      <c r="MC9" s="28"/>
      <c r="MD9" s="28"/>
      <c r="ME9" s="28"/>
      <c r="MF9" s="28"/>
      <c r="MG9" s="28"/>
      <c r="MH9" s="28"/>
      <c r="MI9" s="28"/>
      <c r="MJ9" s="28"/>
      <c r="MK9" s="28"/>
      <c r="ML9" s="28"/>
      <c r="MM9" s="28"/>
      <c r="MN9" s="28"/>
      <c r="MO9" s="28"/>
      <c r="MP9" s="28"/>
      <c r="MQ9" s="28"/>
      <c r="MR9" s="28"/>
      <c r="MS9" s="28"/>
      <c r="MT9" s="28"/>
      <c r="MU9" s="28"/>
      <c r="MV9" s="28"/>
      <c r="MW9" s="28"/>
      <c r="MX9" s="28"/>
      <c r="MY9" s="28"/>
      <c r="MZ9" s="28"/>
      <c r="NA9" s="28"/>
    </row>
    <row r="10" spans="1:365" s="3" customFormat="1" ht="30" customHeight="1" thickBot="1" x14ac:dyDescent="0.3">
      <c r="A10" s="42" t="s">
        <v>22</v>
      </c>
      <c r="B10" s="59" t="s">
        <v>23</v>
      </c>
      <c r="C10" s="56" t="s">
        <v>24</v>
      </c>
      <c r="D10" s="21">
        <v>1</v>
      </c>
      <c r="E10" s="54">
        <v>45920</v>
      </c>
      <c r="F10" s="54">
        <v>45950</v>
      </c>
      <c r="G10" s="17"/>
      <c r="H10" s="17">
        <f t="shared" si="346"/>
        <v>31</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c r="IN10" s="28"/>
      <c r="IO10" s="28"/>
      <c r="IP10" s="28"/>
      <c r="IQ10" s="28"/>
      <c r="IR10" s="28"/>
      <c r="IS10" s="28"/>
      <c r="IT10" s="28"/>
      <c r="IU10" s="28"/>
      <c r="IV10" s="28"/>
      <c r="IW10" s="28"/>
      <c r="IX10" s="28"/>
      <c r="IY10" s="28"/>
      <c r="IZ10" s="28"/>
      <c r="JA10" s="28"/>
      <c r="JB10" s="28"/>
      <c r="JC10" s="28"/>
      <c r="JD10" s="28"/>
      <c r="JE10" s="28"/>
      <c r="JF10" s="28"/>
      <c r="JG10" s="28"/>
      <c r="JH10" s="28"/>
      <c r="JI10" s="28"/>
      <c r="JJ10" s="28"/>
      <c r="JK10" s="28"/>
      <c r="JL10" s="28"/>
      <c r="JM10" s="28"/>
      <c r="JN10" s="28"/>
      <c r="JO10" s="28"/>
      <c r="JP10" s="28"/>
      <c r="JQ10" s="28"/>
      <c r="JR10" s="28"/>
      <c r="JS10" s="28"/>
      <c r="JT10" s="28"/>
      <c r="JU10" s="28"/>
      <c r="JV10" s="28"/>
      <c r="JW10" s="28"/>
      <c r="JX10" s="28"/>
      <c r="JY10" s="28"/>
      <c r="JZ10" s="28"/>
      <c r="KA10" s="28"/>
      <c r="KB10" s="28"/>
      <c r="KC10" s="28"/>
      <c r="KD10" s="28"/>
      <c r="KE10" s="28"/>
      <c r="KF10" s="28"/>
      <c r="KG10" s="28"/>
      <c r="KH10" s="28"/>
      <c r="KI10" s="28"/>
      <c r="KJ10" s="28"/>
      <c r="KK10" s="28"/>
      <c r="KL10" s="28"/>
      <c r="KM10" s="28"/>
      <c r="KN10" s="28"/>
      <c r="KO10" s="28"/>
      <c r="KP10" s="28"/>
      <c r="KQ10" s="28"/>
      <c r="KR10" s="28"/>
      <c r="KS10" s="28"/>
      <c r="KT10" s="28"/>
      <c r="KU10" s="28"/>
      <c r="KV10" s="28"/>
      <c r="KW10" s="28"/>
      <c r="KX10" s="28"/>
      <c r="KY10" s="28"/>
      <c r="KZ10" s="28"/>
      <c r="LA10" s="28"/>
      <c r="LB10" s="28"/>
      <c r="LC10" s="28"/>
      <c r="LD10" s="28"/>
      <c r="LE10" s="28"/>
      <c r="LF10" s="28"/>
      <c r="LG10" s="28"/>
      <c r="LH10" s="28"/>
      <c r="LI10" s="28"/>
      <c r="LJ10" s="28"/>
      <c r="LK10" s="28"/>
      <c r="LL10" s="28"/>
      <c r="LM10" s="28"/>
      <c r="LN10" s="28"/>
      <c r="LO10" s="28"/>
      <c r="LP10" s="28"/>
      <c r="LQ10" s="28"/>
      <c r="LR10" s="28"/>
      <c r="LS10" s="28"/>
      <c r="LT10" s="28"/>
      <c r="LU10" s="28"/>
      <c r="LV10" s="28"/>
      <c r="LW10" s="28"/>
      <c r="LX10" s="28"/>
      <c r="LY10" s="28"/>
      <c r="LZ10" s="28"/>
      <c r="MA10" s="28"/>
      <c r="MB10" s="28"/>
      <c r="MC10" s="28"/>
      <c r="MD10" s="28"/>
      <c r="ME10" s="28"/>
      <c r="MF10" s="28"/>
      <c r="MG10" s="28"/>
      <c r="MH10" s="28"/>
      <c r="MI10" s="28"/>
      <c r="MJ10" s="28"/>
      <c r="MK10" s="28"/>
      <c r="ML10" s="28"/>
      <c r="MM10" s="28"/>
      <c r="MN10" s="28"/>
      <c r="MO10" s="28"/>
      <c r="MP10" s="28"/>
      <c r="MQ10" s="28"/>
      <c r="MR10" s="28"/>
      <c r="MS10" s="28"/>
      <c r="MT10" s="28"/>
      <c r="MU10" s="28"/>
      <c r="MV10" s="28"/>
      <c r="MW10" s="28"/>
      <c r="MX10" s="28"/>
      <c r="MY10" s="28"/>
      <c r="MZ10" s="28"/>
      <c r="NA10" s="28"/>
    </row>
    <row r="11" spans="1:365" s="3" customFormat="1" ht="30" customHeight="1" thickBot="1" x14ac:dyDescent="0.3">
      <c r="A11" s="41"/>
      <c r="B11" s="59" t="s">
        <v>23</v>
      </c>
      <c r="C11" s="56" t="s">
        <v>25</v>
      </c>
      <c r="D11" s="21">
        <v>1</v>
      </c>
      <c r="E11" s="54">
        <v>45922</v>
      </c>
      <c r="F11" s="54">
        <v>45952</v>
      </c>
      <c r="G11" s="17"/>
      <c r="H11" s="17">
        <f t="shared" si="346"/>
        <v>31</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28"/>
      <c r="IW11" s="28"/>
      <c r="IX11" s="28"/>
      <c r="IY11" s="28"/>
      <c r="IZ11" s="28"/>
      <c r="JA11" s="28"/>
      <c r="JB11" s="28"/>
      <c r="JC11" s="28"/>
      <c r="JD11" s="28"/>
      <c r="JE11" s="28"/>
      <c r="JF11" s="28"/>
      <c r="JG11" s="28"/>
      <c r="JH11" s="28"/>
      <c r="JI11" s="28"/>
      <c r="JJ11" s="28"/>
      <c r="JK11" s="28"/>
      <c r="JL11" s="28"/>
      <c r="JM11" s="28"/>
      <c r="JN11" s="28"/>
      <c r="JO11" s="28"/>
      <c r="JP11" s="28"/>
      <c r="JQ11" s="28"/>
      <c r="JR11" s="28"/>
      <c r="JS11" s="28"/>
      <c r="JT11" s="28"/>
      <c r="JU11" s="28"/>
      <c r="JV11" s="28"/>
      <c r="JW11" s="28"/>
      <c r="JX11" s="28"/>
      <c r="JY11" s="28"/>
      <c r="JZ11" s="28"/>
      <c r="KA11" s="28"/>
      <c r="KB11" s="28"/>
      <c r="KC11" s="28"/>
      <c r="KD11" s="28"/>
      <c r="KE11" s="28"/>
      <c r="KF11" s="28"/>
      <c r="KG11" s="28"/>
      <c r="KH11" s="28"/>
      <c r="KI11" s="28"/>
      <c r="KJ11" s="28"/>
      <c r="KK11" s="28"/>
      <c r="KL11" s="28"/>
      <c r="KM11" s="28"/>
      <c r="KN11" s="28"/>
      <c r="KO11" s="28"/>
      <c r="KP11" s="28"/>
      <c r="KQ11" s="28"/>
      <c r="KR11" s="28"/>
      <c r="KS11" s="28"/>
      <c r="KT11" s="28"/>
      <c r="KU11" s="28"/>
      <c r="KV11" s="28"/>
      <c r="KW11" s="28"/>
      <c r="KX11" s="28"/>
      <c r="KY11" s="28"/>
      <c r="KZ11" s="28"/>
      <c r="LA11" s="28"/>
      <c r="LB11" s="28"/>
      <c r="LC11" s="28"/>
      <c r="LD11" s="28"/>
      <c r="LE11" s="28"/>
      <c r="LF11" s="28"/>
      <c r="LG11" s="28"/>
      <c r="LH11" s="28"/>
      <c r="LI11" s="28"/>
      <c r="LJ11" s="28"/>
      <c r="LK11" s="28"/>
      <c r="LL11" s="28"/>
      <c r="LM11" s="28"/>
      <c r="LN11" s="28"/>
      <c r="LO11" s="28"/>
      <c r="LP11" s="28"/>
      <c r="LQ11" s="28"/>
      <c r="LR11" s="28"/>
      <c r="LS11" s="28"/>
      <c r="LT11" s="28"/>
      <c r="LU11" s="28"/>
      <c r="LV11" s="28"/>
      <c r="LW11" s="28"/>
      <c r="LX11" s="28"/>
      <c r="LY11" s="28"/>
      <c r="LZ11" s="28"/>
      <c r="MA11" s="28"/>
      <c r="MB11" s="28"/>
      <c r="MC11" s="28"/>
      <c r="MD11" s="28"/>
      <c r="ME11" s="28"/>
      <c r="MF11" s="28"/>
      <c r="MG11" s="28"/>
      <c r="MH11" s="28"/>
      <c r="MI11" s="28"/>
      <c r="MJ11" s="28"/>
      <c r="MK11" s="28"/>
      <c r="ML11" s="28"/>
      <c r="MM11" s="28"/>
      <c r="MN11" s="28"/>
      <c r="MO11" s="28"/>
      <c r="MP11" s="28"/>
      <c r="MQ11" s="28"/>
      <c r="MR11" s="28"/>
      <c r="MS11" s="28"/>
      <c r="MT11" s="28"/>
      <c r="MU11" s="28"/>
      <c r="MV11" s="28"/>
      <c r="MW11" s="28"/>
      <c r="MX11" s="28"/>
      <c r="MY11" s="28"/>
      <c r="MZ11" s="28"/>
      <c r="NA11" s="28"/>
    </row>
    <row r="12" spans="1:365" s="3" customFormat="1" ht="30" customHeight="1" thickBot="1" x14ac:dyDescent="0.3">
      <c r="A12" s="41"/>
      <c r="B12" s="58" t="s">
        <v>26</v>
      </c>
      <c r="C12" s="56" t="s">
        <v>21</v>
      </c>
      <c r="D12" s="21">
        <v>1</v>
      </c>
      <c r="E12" s="54">
        <v>45925</v>
      </c>
      <c r="F12" s="54">
        <v>45953</v>
      </c>
      <c r="G12" s="17"/>
      <c r="H12" s="17">
        <v>8</v>
      </c>
      <c r="I12" s="28"/>
      <c r="J12" s="28"/>
      <c r="K12" s="28"/>
      <c r="L12" s="28"/>
      <c r="M12" s="28"/>
      <c r="N12" s="28"/>
      <c r="O12" s="28"/>
      <c r="P12" s="28"/>
      <c r="Q12" s="28"/>
      <c r="R12" s="28"/>
      <c r="S12" s="28"/>
      <c r="T12" s="28"/>
      <c r="U12" s="28"/>
      <c r="V12" s="28"/>
      <c r="W12" s="28"/>
      <c r="X12" s="28"/>
      <c r="Y12" s="29"/>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c r="IN12" s="28"/>
      <c r="IO12" s="28"/>
      <c r="IP12" s="28"/>
      <c r="IQ12" s="28"/>
      <c r="IR12" s="28"/>
      <c r="IS12" s="28"/>
      <c r="IT12" s="28"/>
      <c r="IU12" s="28"/>
      <c r="IV12" s="28"/>
      <c r="IW12" s="28"/>
      <c r="IX12" s="28"/>
      <c r="IY12" s="28"/>
      <c r="IZ12" s="28"/>
      <c r="JA12" s="28"/>
      <c r="JB12" s="28"/>
      <c r="JC12" s="28"/>
      <c r="JD12" s="28"/>
      <c r="JE12" s="28"/>
      <c r="JF12" s="28"/>
      <c r="JG12" s="28"/>
      <c r="JH12" s="28"/>
      <c r="JI12" s="28"/>
      <c r="JJ12" s="28"/>
      <c r="JK12" s="28"/>
      <c r="JL12" s="28"/>
      <c r="JM12" s="28"/>
      <c r="JN12" s="28"/>
      <c r="JO12" s="28"/>
      <c r="JP12" s="28"/>
      <c r="JQ12" s="28"/>
      <c r="JR12" s="28"/>
      <c r="JS12" s="28"/>
      <c r="JT12" s="28"/>
      <c r="JU12" s="28"/>
      <c r="JV12" s="28"/>
      <c r="JW12" s="28"/>
      <c r="JX12" s="28"/>
      <c r="JY12" s="28"/>
      <c r="JZ12" s="28"/>
      <c r="KA12" s="28"/>
      <c r="KB12" s="28"/>
      <c r="KC12" s="28"/>
      <c r="KD12" s="28"/>
      <c r="KE12" s="28"/>
      <c r="KF12" s="28"/>
      <c r="KG12" s="28"/>
      <c r="KH12" s="28"/>
      <c r="KI12" s="28"/>
      <c r="KJ12" s="28"/>
      <c r="KK12" s="28"/>
      <c r="KL12" s="28"/>
      <c r="KM12" s="28"/>
      <c r="KN12" s="28"/>
      <c r="KO12" s="28"/>
      <c r="KP12" s="28"/>
      <c r="KQ12" s="28"/>
      <c r="KR12" s="28"/>
      <c r="KS12" s="28"/>
      <c r="KT12" s="28"/>
      <c r="KU12" s="28"/>
      <c r="KV12" s="28"/>
      <c r="KW12" s="28"/>
      <c r="KX12" s="28"/>
      <c r="KY12" s="28"/>
      <c r="KZ12" s="28"/>
      <c r="LA12" s="28"/>
      <c r="LB12" s="28"/>
      <c r="LC12" s="28"/>
      <c r="LD12" s="28"/>
      <c r="LE12" s="28"/>
      <c r="LF12" s="28"/>
      <c r="LG12" s="28"/>
      <c r="LH12" s="28"/>
      <c r="LI12" s="28"/>
      <c r="LJ12" s="28"/>
      <c r="LK12" s="28"/>
      <c r="LL12" s="28"/>
      <c r="LM12" s="28"/>
      <c r="LN12" s="28"/>
      <c r="LO12" s="28"/>
      <c r="LP12" s="28"/>
      <c r="LQ12" s="28"/>
      <c r="LR12" s="28"/>
      <c r="LS12" s="28"/>
      <c r="LT12" s="28"/>
      <c r="LU12" s="28"/>
      <c r="LV12" s="28"/>
      <c r="LW12" s="28"/>
      <c r="LX12" s="28"/>
      <c r="LY12" s="28"/>
      <c r="LZ12" s="28"/>
      <c r="MA12" s="28"/>
      <c r="MB12" s="28"/>
      <c r="MC12" s="28"/>
      <c r="MD12" s="28"/>
      <c r="ME12" s="28"/>
      <c r="MF12" s="28"/>
      <c r="MG12" s="28"/>
      <c r="MH12" s="28"/>
      <c r="MI12" s="28"/>
      <c r="MJ12" s="28"/>
      <c r="MK12" s="28"/>
      <c r="ML12" s="28"/>
      <c r="MM12" s="28"/>
      <c r="MN12" s="28"/>
      <c r="MO12" s="28"/>
      <c r="MP12" s="28"/>
      <c r="MQ12" s="28"/>
      <c r="MR12" s="28"/>
      <c r="MS12" s="28"/>
      <c r="MT12" s="28"/>
      <c r="MU12" s="28"/>
      <c r="MV12" s="28"/>
      <c r="MW12" s="28"/>
      <c r="MX12" s="28"/>
      <c r="MY12" s="28"/>
      <c r="MZ12" s="28"/>
      <c r="NA12" s="28"/>
    </row>
    <row r="13" spans="1:365" s="3" customFormat="1" ht="30" customHeight="1" thickBot="1" x14ac:dyDescent="0.3">
      <c r="A13" s="41"/>
      <c r="B13" s="58" t="s">
        <v>27</v>
      </c>
      <c r="C13" s="56" t="s">
        <v>21</v>
      </c>
      <c r="D13" s="21">
        <v>1</v>
      </c>
      <c r="E13" s="54">
        <v>45950</v>
      </c>
      <c r="F13" s="54">
        <v>45953</v>
      </c>
      <c r="G13" s="17"/>
      <c r="H13" s="17">
        <f t="shared" si="346"/>
        <v>4</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c r="HL13" s="28"/>
      <c r="HM13" s="28"/>
      <c r="HN13" s="28"/>
      <c r="HO13" s="28"/>
      <c r="HP13" s="28"/>
      <c r="HQ13" s="28"/>
      <c r="HR13" s="28"/>
      <c r="HS13" s="28"/>
      <c r="HT13" s="28"/>
      <c r="HU13" s="28"/>
      <c r="HV13" s="28"/>
      <c r="HW13" s="28"/>
      <c r="HX13" s="28"/>
      <c r="HY13" s="28"/>
      <c r="HZ13" s="28"/>
      <c r="IA13" s="28"/>
      <c r="IB13" s="28"/>
      <c r="IC13" s="28"/>
      <c r="ID13" s="28"/>
      <c r="IE13" s="28"/>
      <c r="IF13" s="28"/>
      <c r="IG13" s="28"/>
      <c r="IH13" s="28"/>
      <c r="II13" s="28"/>
      <c r="IJ13" s="28"/>
      <c r="IK13" s="28"/>
      <c r="IL13" s="28"/>
      <c r="IM13" s="28"/>
      <c r="IN13" s="28"/>
      <c r="IO13" s="28"/>
      <c r="IP13" s="28"/>
      <c r="IQ13" s="28"/>
      <c r="IR13" s="28"/>
      <c r="IS13" s="28"/>
      <c r="IT13" s="28"/>
      <c r="IU13" s="28"/>
      <c r="IV13" s="28"/>
      <c r="IW13" s="28"/>
      <c r="IX13" s="28"/>
      <c r="IY13" s="28"/>
      <c r="IZ13" s="28"/>
      <c r="JA13" s="28"/>
      <c r="JB13" s="28"/>
      <c r="JC13" s="28"/>
      <c r="JD13" s="28"/>
      <c r="JE13" s="28"/>
      <c r="JF13" s="28"/>
      <c r="JG13" s="28"/>
      <c r="JH13" s="28"/>
      <c r="JI13" s="28"/>
      <c r="JJ13" s="28"/>
      <c r="JK13" s="28"/>
      <c r="JL13" s="28"/>
      <c r="JM13" s="28"/>
      <c r="JN13" s="28"/>
      <c r="JO13" s="28"/>
      <c r="JP13" s="28"/>
      <c r="JQ13" s="28"/>
      <c r="JR13" s="28"/>
      <c r="JS13" s="28"/>
      <c r="JT13" s="28"/>
      <c r="JU13" s="28"/>
      <c r="JV13" s="28"/>
      <c r="JW13" s="28"/>
      <c r="JX13" s="28"/>
      <c r="JY13" s="28"/>
      <c r="JZ13" s="28"/>
      <c r="KA13" s="28"/>
      <c r="KB13" s="28"/>
      <c r="KC13" s="28"/>
      <c r="KD13" s="28"/>
      <c r="KE13" s="28"/>
      <c r="KF13" s="28"/>
      <c r="KG13" s="28"/>
      <c r="KH13" s="28"/>
      <c r="KI13" s="28"/>
      <c r="KJ13" s="28"/>
      <c r="KK13" s="28"/>
      <c r="KL13" s="28"/>
      <c r="KM13" s="28"/>
      <c r="KN13" s="28"/>
      <c r="KO13" s="28"/>
      <c r="KP13" s="28"/>
      <c r="KQ13" s="28"/>
      <c r="KR13" s="28"/>
      <c r="KS13" s="28"/>
      <c r="KT13" s="28"/>
      <c r="KU13" s="28"/>
      <c r="KV13" s="28"/>
      <c r="KW13" s="28"/>
      <c r="KX13" s="28"/>
      <c r="KY13" s="28"/>
      <c r="KZ13" s="28"/>
      <c r="LA13" s="28"/>
      <c r="LB13" s="28"/>
      <c r="LC13" s="28"/>
      <c r="LD13" s="28"/>
      <c r="LE13" s="28"/>
      <c r="LF13" s="28"/>
      <c r="LG13" s="28"/>
      <c r="LH13" s="28"/>
      <c r="LI13" s="28"/>
      <c r="LJ13" s="28"/>
      <c r="LK13" s="28"/>
      <c r="LL13" s="28"/>
      <c r="LM13" s="28"/>
      <c r="LN13" s="28"/>
      <c r="LO13" s="28"/>
      <c r="LP13" s="28"/>
      <c r="LQ13" s="28"/>
      <c r="LR13" s="28"/>
      <c r="LS13" s="28"/>
      <c r="LT13" s="28"/>
      <c r="LU13" s="28"/>
      <c r="LV13" s="28"/>
      <c r="LW13" s="28"/>
      <c r="LX13" s="28"/>
      <c r="LY13" s="28"/>
      <c r="LZ13" s="28"/>
      <c r="MA13" s="28"/>
      <c r="MB13" s="28"/>
      <c r="MC13" s="28"/>
      <c r="MD13" s="28"/>
      <c r="ME13" s="28"/>
      <c r="MF13" s="28"/>
      <c r="MG13" s="28"/>
      <c r="MH13" s="28"/>
      <c r="MI13" s="28"/>
      <c r="MJ13" s="28"/>
      <c r="MK13" s="28"/>
      <c r="ML13" s="28"/>
      <c r="MM13" s="28"/>
      <c r="MN13" s="28"/>
      <c r="MO13" s="28"/>
      <c r="MP13" s="28"/>
      <c r="MQ13" s="28"/>
      <c r="MR13" s="28"/>
      <c r="MS13" s="28"/>
      <c r="MT13" s="28"/>
      <c r="MU13" s="28"/>
      <c r="MV13" s="28"/>
      <c r="MW13" s="28"/>
      <c r="MX13" s="28"/>
      <c r="MY13" s="28"/>
      <c r="MZ13" s="28"/>
      <c r="NA13" s="28"/>
    </row>
    <row r="14" spans="1:365" s="3" customFormat="1" ht="30" customHeight="1" thickBot="1" x14ac:dyDescent="0.3">
      <c r="A14" s="42"/>
      <c r="B14" s="59" t="s">
        <v>28</v>
      </c>
      <c r="C14" s="56" t="s">
        <v>21</v>
      </c>
      <c r="D14" s="21">
        <v>1</v>
      </c>
      <c r="E14" s="57">
        <v>45962</v>
      </c>
      <c r="F14" s="54">
        <v>45979</v>
      </c>
      <c r="G14" s="17"/>
      <c r="H14" s="17">
        <f t="shared" si="346"/>
        <v>18</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c r="IN14" s="28"/>
      <c r="IO14" s="28"/>
      <c r="IP14" s="28"/>
      <c r="IQ14" s="28"/>
      <c r="IR14" s="28"/>
      <c r="IS14" s="28"/>
      <c r="IT14" s="28"/>
      <c r="IU14" s="28"/>
      <c r="IV14" s="28"/>
      <c r="IW14" s="28"/>
      <c r="IX14" s="28"/>
      <c r="IY14" s="28"/>
      <c r="IZ14" s="28"/>
      <c r="JA14" s="28"/>
      <c r="JB14" s="28"/>
      <c r="JC14" s="28"/>
      <c r="JD14" s="28"/>
      <c r="JE14" s="28"/>
      <c r="JF14" s="28"/>
      <c r="JG14" s="28"/>
      <c r="JH14" s="28"/>
      <c r="JI14" s="28"/>
      <c r="JJ14" s="28"/>
      <c r="JK14" s="28"/>
      <c r="JL14" s="28"/>
      <c r="JM14" s="28"/>
      <c r="JN14" s="28"/>
      <c r="JO14" s="28"/>
      <c r="JP14" s="28"/>
      <c r="JQ14" s="28"/>
      <c r="JR14" s="28"/>
      <c r="JS14" s="28"/>
      <c r="JT14" s="28"/>
      <c r="JU14" s="28"/>
      <c r="JV14" s="28"/>
      <c r="JW14" s="28"/>
      <c r="JX14" s="28"/>
      <c r="JY14" s="28"/>
      <c r="JZ14" s="28"/>
      <c r="KA14" s="28"/>
      <c r="KB14" s="28"/>
      <c r="KC14" s="28"/>
      <c r="KD14" s="28"/>
      <c r="KE14" s="28"/>
      <c r="KF14" s="28"/>
      <c r="KG14" s="28"/>
      <c r="KH14" s="28"/>
      <c r="KI14" s="28"/>
      <c r="KJ14" s="28"/>
      <c r="KK14" s="28"/>
      <c r="KL14" s="28"/>
      <c r="KM14" s="28"/>
      <c r="KN14" s="28"/>
      <c r="KO14" s="28"/>
      <c r="KP14" s="28"/>
      <c r="KQ14" s="28"/>
      <c r="KR14" s="28"/>
      <c r="KS14" s="28"/>
      <c r="KT14" s="28"/>
      <c r="KU14" s="28"/>
      <c r="KV14" s="28"/>
      <c r="KW14" s="28"/>
      <c r="KX14" s="28"/>
      <c r="KY14" s="28"/>
      <c r="KZ14" s="28"/>
      <c r="LA14" s="28"/>
      <c r="LB14" s="28"/>
      <c r="LC14" s="28"/>
      <c r="LD14" s="28"/>
      <c r="LE14" s="28"/>
      <c r="LF14" s="28"/>
      <c r="LG14" s="28"/>
      <c r="LH14" s="28"/>
      <c r="LI14" s="28"/>
      <c r="LJ14" s="28"/>
      <c r="LK14" s="28"/>
      <c r="LL14" s="28"/>
      <c r="LM14" s="28"/>
      <c r="LN14" s="28"/>
      <c r="LO14" s="28"/>
      <c r="LP14" s="28"/>
      <c r="LQ14" s="28"/>
      <c r="LR14" s="28"/>
      <c r="LS14" s="28"/>
      <c r="LT14" s="28"/>
      <c r="LU14" s="28"/>
      <c r="LV14" s="28"/>
      <c r="LW14" s="28"/>
      <c r="LX14" s="28"/>
      <c r="LY14" s="28"/>
      <c r="LZ14" s="28"/>
      <c r="MA14" s="28"/>
      <c r="MB14" s="28"/>
      <c r="MC14" s="28"/>
      <c r="MD14" s="28"/>
      <c r="ME14" s="28"/>
      <c r="MF14" s="28"/>
      <c r="MG14" s="28"/>
      <c r="MH14" s="28"/>
      <c r="MI14" s="28"/>
      <c r="MJ14" s="28"/>
      <c r="MK14" s="28"/>
      <c r="ML14" s="28"/>
      <c r="MM14" s="28"/>
      <c r="MN14" s="28"/>
      <c r="MO14" s="28"/>
      <c r="MP14" s="28"/>
      <c r="MQ14" s="28"/>
      <c r="MR14" s="28"/>
      <c r="MS14" s="28"/>
      <c r="MT14" s="28"/>
      <c r="MU14" s="28"/>
      <c r="MV14" s="28"/>
      <c r="MW14" s="28"/>
      <c r="MX14" s="28"/>
      <c r="MY14" s="28"/>
      <c r="MZ14" s="28"/>
      <c r="NA14" s="28"/>
    </row>
    <row r="15" spans="1:365" s="3" customFormat="1" ht="30" customHeight="1" thickBot="1" x14ac:dyDescent="0.3">
      <c r="A15" s="42"/>
      <c r="B15" s="59" t="s">
        <v>29</v>
      </c>
      <c r="C15" s="56" t="s">
        <v>25</v>
      </c>
      <c r="D15" s="21">
        <v>1</v>
      </c>
      <c r="E15" s="54">
        <v>45979</v>
      </c>
      <c r="F15" s="54">
        <v>45980</v>
      </c>
      <c r="G15" s="17"/>
      <c r="H15" s="17">
        <f t="shared" si="346"/>
        <v>2</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28"/>
      <c r="IW15" s="28"/>
      <c r="IX15" s="28"/>
      <c r="IY15" s="28"/>
      <c r="IZ15" s="28"/>
      <c r="JA15" s="28"/>
      <c r="JB15" s="28"/>
      <c r="JC15" s="28"/>
      <c r="JD15" s="28"/>
      <c r="JE15" s="28"/>
      <c r="JF15" s="28"/>
      <c r="JG15" s="28"/>
      <c r="JH15" s="28"/>
      <c r="JI15" s="28"/>
      <c r="JJ15" s="28"/>
      <c r="JK15" s="28"/>
      <c r="JL15" s="28"/>
      <c r="JM15" s="28"/>
      <c r="JN15" s="28"/>
      <c r="JO15" s="28"/>
      <c r="JP15" s="28"/>
      <c r="JQ15" s="28"/>
      <c r="JR15" s="28"/>
      <c r="JS15" s="28"/>
      <c r="JT15" s="28"/>
      <c r="JU15" s="28"/>
      <c r="JV15" s="28"/>
      <c r="JW15" s="28"/>
      <c r="JX15" s="28"/>
      <c r="JY15" s="28"/>
      <c r="JZ15" s="28"/>
      <c r="KA15" s="28"/>
      <c r="KB15" s="28"/>
      <c r="KC15" s="28"/>
      <c r="KD15" s="28"/>
      <c r="KE15" s="28"/>
      <c r="KF15" s="28"/>
      <c r="KG15" s="28"/>
      <c r="KH15" s="28"/>
      <c r="KI15" s="28"/>
      <c r="KJ15" s="28"/>
      <c r="KK15" s="28"/>
      <c r="KL15" s="28"/>
      <c r="KM15" s="28"/>
      <c r="KN15" s="28"/>
      <c r="KO15" s="28"/>
      <c r="KP15" s="28"/>
      <c r="KQ15" s="28"/>
      <c r="KR15" s="28"/>
      <c r="KS15" s="28"/>
      <c r="KT15" s="28"/>
      <c r="KU15" s="28"/>
      <c r="KV15" s="28"/>
      <c r="KW15" s="28"/>
      <c r="KX15" s="28"/>
      <c r="KY15" s="28"/>
      <c r="KZ15" s="28"/>
      <c r="LA15" s="28"/>
      <c r="LB15" s="28"/>
      <c r="LC15" s="28"/>
      <c r="LD15" s="28"/>
      <c r="LE15" s="28"/>
      <c r="LF15" s="28"/>
      <c r="LG15" s="28"/>
      <c r="LH15" s="28"/>
      <c r="LI15" s="28"/>
      <c r="LJ15" s="28"/>
      <c r="LK15" s="28"/>
      <c r="LL15" s="28"/>
      <c r="LM15" s="28"/>
      <c r="LN15" s="28"/>
      <c r="LO15" s="28"/>
      <c r="LP15" s="28"/>
      <c r="LQ15" s="28"/>
      <c r="LR15" s="28"/>
      <c r="LS15" s="28"/>
      <c r="LT15" s="28"/>
      <c r="LU15" s="28"/>
      <c r="LV15" s="28"/>
      <c r="LW15" s="28"/>
      <c r="LX15" s="28"/>
      <c r="LY15" s="28"/>
      <c r="LZ15" s="28"/>
      <c r="MA15" s="28"/>
      <c r="MB15" s="28"/>
      <c r="MC15" s="28"/>
      <c r="MD15" s="28"/>
      <c r="ME15" s="28"/>
      <c r="MF15" s="28"/>
      <c r="MG15" s="28"/>
      <c r="MH15" s="28"/>
      <c r="MI15" s="28"/>
      <c r="MJ15" s="28"/>
      <c r="MK15" s="28"/>
      <c r="ML15" s="28"/>
      <c r="MM15" s="28"/>
      <c r="MN15" s="28"/>
      <c r="MO15" s="28"/>
      <c r="MP15" s="28"/>
      <c r="MQ15" s="28"/>
      <c r="MR15" s="28"/>
      <c r="MS15" s="28"/>
      <c r="MT15" s="28"/>
      <c r="MU15" s="28"/>
      <c r="MV15" s="28"/>
      <c r="MW15" s="28"/>
      <c r="MX15" s="28"/>
      <c r="MY15" s="28"/>
      <c r="MZ15" s="28"/>
      <c r="NA15" s="28"/>
    </row>
    <row r="16" spans="1:365" s="3" customFormat="1" ht="30" customHeight="1" thickBot="1" x14ac:dyDescent="0.3">
      <c r="A16" s="41"/>
      <c r="B16" s="59" t="s">
        <v>30</v>
      </c>
      <c r="C16" s="56" t="s">
        <v>21</v>
      </c>
      <c r="D16" s="21">
        <v>1</v>
      </c>
      <c r="E16" s="54">
        <v>45981</v>
      </c>
      <c r="F16" s="54">
        <v>45981</v>
      </c>
      <c r="G16" s="17"/>
      <c r="H16" s="17">
        <f t="shared" si="346"/>
        <v>1</v>
      </c>
      <c r="I16" s="28"/>
      <c r="J16" s="28"/>
      <c r="K16" s="28"/>
      <c r="L16" s="28"/>
      <c r="M16" s="28"/>
      <c r="N16" s="28"/>
      <c r="O16" s="28"/>
      <c r="P16" s="28"/>
      <c r="Q16" s="28"/>
      <c r="R16" s="28"/>
      <c r="S16" s="28"/>
      <c r="T16" s="28"/>
      <c r="U16" s="29"/>
      <c r="V16" s="29"/>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c r="IW16" s="28"/>
      <c r="IX16" s="28"/>
      <c r="IY16" s="28"/>
      <c r="IZ16" s="28"/>
      <c r="JA16" s="28"/>
      <c r="JB16" s="28"/>
      <c r="JC16" s="28"/>
      <c r="JD16" s="28"/>
      <c r="JE16" s="28"/>
      <c r="JF16" s="28"/>
      <c r="JG16" s="28"/>
      <c r="JH16" s="28"/>
      <c r="JI16" s="28"/>
      <c r="JJ16" s="28"/>
      <c r="JK16" s="28"/>
      <c r="JL16" s="28"/>
      <c r="JM16" s="28"/>
      <c r="JN16" s="28"/>
      <c r="JO16" s="28"/>
      <c r="JP16" s="28"/>
      <c r="JQ16" s="28"/>
      <c r="JR16" s="28"/>
      <c r="JS16" s="28"/>
      <c r="JT16" s="28"/>
      <c r="JU16" s="28"/>
      <c r="JV16" s="28"/>
      <c r="JW16" s="28"/>
      <c r="JX16" s="28"/>
      <c r="JY16" s="28"/>
      <c r="JZ16" s="28"/>
      <c r="KA16" s="28"/>
      <c r="KB16" s="28"/>
      <c r="KC16" s="28"/>
      <c r="KD16" s="28"/>
      <c r="KE16" s="28"/>
      <c r="KF16" s="28"/>
      <c r="KG16" s="28"/>
      <c r="KH16" s="28"/>
      <c r="KI16" s="28"/>
      <c r="KJ16" s="28"/>
      <c r="KK16" s="28"/>
      <c r="KL16" s="28"/>
      <c r="KM16" s="28"/>
      <c r="KN16" s="28"/>
      <c r="KO16" s="28"/>
      <c r="KP16" s="28"/>
      <c r="KQ16" s="28"/>
      <c r="KR16" s="28"/>
      <c r="KS16" s="28"/>
      <c r="KT16" s="28"/>
      <c r="KU16" s="28"/>
      <c r="KV16" s="28"/>
      <c r="KW16" s="28"/>
      <c r="KX16" s="28"/>
      <c r="KY16" s="28"/>
      <c r="KZ16" s="28"/>
      <c r="LA16" s="28"/>
      <c r="LB16" s="28"/>
      <c r="LC16" s="28"/>
      <c r="LD16" s="28"/>
      <c r="LE16" s="28"/>
      <c r="LF16" s="28"/>
      <c r="LG16" s="28"/>
      <c r="LH16" s="28"/>
      <c r="LI16" s="28"/>
      <c r="LJ16" s="28"/>
      <c r="LK16" s="28"/>
      <c r="LL16" s="28"/>
      <c r="LM16" s="28"/>
      <c r="LN16" s="28"/>
      <c r="LO16" s="28"/>
      <c r="LP16" s="28"/>
      <c r="LQ16" s="28"/>
      <c r="LR16" s="28"/>
      <c r="LS16" s="28"/>
      <c r="LT16" s="28"/>
      <c r="LU16" s="28"/>
      <c r="LV16" s="28"/>
      <c r="LW16" s="28"/>
      <c r="LX16" s="28"/>
      <c r="LY16" s="28"/>
      <c r="LZ16" s="28"/>
      <c r="MA16" s="28"/>
      <c r="MB16" s="28"/>
      <c r="MC16" s="28"/>
      <c r="MD16" s="28"/>
      <c r="ME16" s="28"/>
      <c r="MF16" s="28"/>
      <c r="MG16" s="28"/>
      <c r="MH16" s="28"/>
      <c r="MI16" s="28"/>
      <c r="MJ16" s="28"/>
      <c r="MK16" s="28"/>
      <c r="ML16" s="28"/>
      <c r="MM16" s="28"/>
      <c r="MN16" s="28"/>
      <c r="MO16" s="28"/>
      <c r="MP16" s="28"/>
      <c r="MQ16" s="28"/>
      <c r="MR16" s="28"/>
      <c r="MS16" s="28"/>
      <c r="MT16" s="28"/>
      <c r="MU16" s="28"/>
      <c r="MV16" s="28"/>
      <c r="MW16" s="28"/>
      <c r="MX16" s="28"/>
      <c r="MY16" s="28"/>
      <c r="MZ16" s="28"/>
      <c r="NA16" s="28"/>
    </row>
    <row r="17" spans="1:365" s="3" customFormat="1" ht="30" customHeight="1" thickBot="1" x14ac:dyDescent="0.3">
      <c r="A17" s="41"/>
      <c r="B17" s="60" t="s">
        <v>31</v>
      </c>
      <c r="C17" s="56" t="s">
        <v>25</v>
      </c>
      <c r="D17" s="21">
        <v>1</v>
      </c>
      <c r="E17" s="54">
        <v>45976</v>
      </c>
      <c r="F17" s="54">
        <v>45986</v>
      </c>
      <c r="G17" s="17"/>
      <c r="H17" s="17">
        <f t="shared" si="346"/>
        <v>11</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28"/>
      <c r="IW17" s="28"/>
      <c r="IX17" s="28"/>
      <c r="IY17" s="28"/>
      <c r="IZ17" s="28"/>
      <c r="JA17" s="28"/>
      <c r="JB17" s="28"/>
      <c r="JC17" s="28"/>
      <c r="JD17" s="28"/>
      <c r="JE17" s="28"/>
      <c r="JF17" s="28"/>
      <c r="JG17" s="28"/>
      <c r="JH17" s="28"/>
      <c r="JI17" s="28"/>
      <c r="JJ17" s="28"/>
      <c r="JK17" s="28"/>
      <c r="JL17" s="28"/>
      <c r="JM17" s="28"/>
      <c r="JN17" s="28"/>
      <c r="JO17" s="28"/>
      <c r="JP17" s="28"/>
      <c r="JQ17" s="28"/>
      <c r="JR17" s="28"/>
      <c r="JS17" s="28"/>
      <c r="JT17" s="28"/>
      <c r="JU17" s="28"/>
      <c r="JV17" s="28"/>
      <c r="JW17" s="28"/>
      <c r="JX17" s="28"/>
      <c r="JY17" s="28"/>
      <c r="JZ17" s="28"/>
      <c r="KA17" s="28"/>
      <c r="KB17" s="28"/>
      <c r="KC17" s="28"/>
      <c r="KD17" s="28"/>
      <c r="KE17" s="28"/>
      <c r="KF17" s="28"/>
      <c r="KG17" s="28"/>
      <c r="KH17" s="28"/>
      <c r="KI17" s="28"/>
      <c r="KJ17" s="28"/>
      <c r="KK17" s="28"/>
      <c r="KL17" s="28"/>
      <c r="KM17" s="28"/>
      <c r="KN17" s="28"/>
      <c r="KO17" s="28"/>
      <c r="KP17" s="28"/>
      <c r="KQ17" s="28"/>
      <c r="KR17" s="28"/>
      <c r="KS17" s="28"/>
      <c r="KT17" s="28"/>
      <c r="KU17" s="28"/>
      <c r="KV17" s="28"/>
      <c r="KW17" s="28"/>
      <c r="KX17" s="28"/>
      <c r="KY17" s="28"/>
      <c r="KZ17" s="28"/>
      <c r="LA17" s="28"/>
      <c r="LB17" s="28"/>
      <c r="LC17" s="28"/>
      <c r="LD17" s="28"/>
      <c r="LE17" s="28"/>
      <c r="LF17" s="28"/>
      <c r="LG17" s="28"/>
      <c r="LH17" s="28"/>
      <c r="LI17" s="28"/>
      <c r="LJ17" s="28"/>
      <c r="LK17" s="28"/>
      <c r="LL17" s="28"/>
      <c r="LM17" s="28"/>
      <c r="LN17" s="28"/>
      <c r="LO17" s="28"/>
      <c r="LP17" s="28"/>
      <c r="LQ17" s="28"/>
      <c r="LR17" s="28"/>
      <c r="LS17" s="28"/>
      <c r="LT17" s="28"/>
      <c r="LU17" s="28"/>
      <c r="LV17" s="28"/>
      <c r="LW17" s="28"/>
      <c r="LX17" s="28"/>
      <c r="LY17" s="28"/>
      <c r="LZ17" s="28"/>
      <c r="MA17" s="28"/>
      <c r="MB17" s="28"/>
      <c r="MC17" s="28"/>
      <c r="MD17" s="28"/>
      <c r="ME17" s="28"/>
      <c r="MF17" s="28"/>
      <c r="MG17" s="28"/>
      <c r="MH17" s="28"/>
      <c r="MI17" s="28"/>
      <c r="MJ17" s="28"/>
      <c r="MK17" s="28"/>
      <c r="ML17" s="28"/>
      <c r="MM17" s="28"/>
      <c r="MN17" s="28"/>
      <c r="MO17" s="28"/>
      <c r="MP17" s="28"/>
      <c r="MQ17" s="28"/>
      <c r="MR17" s="28"/>
      <c r="MS17" s="28"/>
      <c r="MT17" s="28"/>
      <c r="MU17" s="28"/>
      <c r="MV17" s="28"/>
      <c r="MW17" s="28"/>
      <c r="MX17" s="28"/>
      <c r="MY17" s="28"/>
      <c r="MZ17" s="28"/>
      <c r="NA17" s="28"/>
    </row>
    <row r="18" spans="1:365" s="3" customFormat="1" ht="30" customHeight="1" thickBot="1" x14ac:dyDescent="0.3">
      <c r="A18" s="41"/>
      <c r="B18" s="60" t="s">
        <v>31</v>
      </c>
      <c r="C18" s="56" t="s">
        <v>24</v>
      </c>
      <c r="D18" s="21">
        <v>1</v>
      </c>
      <c r="E18" s="54">
        <v>45971</v>
      </c>
      <c r="F18" s="54">
        <v>45986</v>
      </c>
      <c r="G18" s="17"/>
      <c r="H18" s="17">
        <f t="shared" si="346"/>
        <v>16</v>
      </c>
      <c r="I18" s="28"/>
      <c r="J18" s="28"/>
      <c r="K18" s="28"/>
      <c r="L18" s="28"/>
      <c r="M18" s="28"/>
      <c r="N18" s="28"/>
      <c r="O18" s="28"/>
      <c r="P18" s="28"/>
      <c r="Q18" s="28"/>
      <c r="R18" s="28"/>
      <c r="S18" s="28"/>
      <c r="T18" s="28"/>
      <c r="U18" s="28"/>
      <c r="V18" s="28"/>
      <c r="W18" s="28"/>
      <c r="X18" s="28"/>
      <c r="Y18" s="29"/>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28"/>
      <c r="IW18" s="28"/>
      <c r="IX18" s="28"/>
      <c r="IY18" s="28"/>
      <c r="IZ18" s="28"/>
      <c r="JA18" s="28"/>
      <c r="JB18" s="28"/>
      <c r="JC18" s="28"/>
      <c r="JD18" s="28"/>
      <c r="JE18" s="28"/>
      <c r="JF18" s="28"/>
      <c r="JG18" s="28"/>
      <c r="JH18" s="28"/>
      <c r="JI18" s="28"/>
      <c r="JJ18" s="28"/>
      <c r="JK18" s="28"/>
      <c r="JL18" s="28"/>
      <c r="JM18" s="28"/>
      <c r="JN18" s="28"/>
      <c r="JO18" s="28"/>
      <c r="JP18" s="28"/>
      <c r="JQ18" s="28"/>
      <c r="JR18" s="28"/>
      <c r="JS18" s="28"/>
      <c r="JT18" s="28"/>
      <c r="JU18" s="28"/>
      <c r="JV18" s="28"/>
      <c r="JW18" s="28"/>
      <c r="JX18" s="28"/>
      <c r="JY18" s="28"/>
      <c r="JZ18" s="28"/>
      <c r="KA18" s="28"/>
      <c r="KB18" s="28"/>
      <c r="KC18" s="28"/>
      <c r="KD18" s="28"/>
      <c r="KE18" s="28"/>
      <c r="KF18" s="28"/>
      <c r="KG18" s="28"/>
      <c r="KH18" s="28"/>
      <c r="KI18" s="28"/>
      <c r="KJ18" s="28"/>
      <c r="KK18" s="28"/>
      <c r="KL18" s="28"/>
      <c r="KM18" s="28"/>
      <c r="KN18" s="28"/>
      <c r="KO18" s="28"/>
      <c r="KP18" s="28"/>
      <c r="KQ18" s="28"/>
      <c r="KR18" s="28"/>
      <c r="KS18" s="28"/>
      <c r="KT18" s="28"/>
      <c r="KU18" s="28"/>
      <c r="KV18" s="28"/>
      <c r="KW18" s="28"/>
      <c r="KX18" s="28"/>
      <c r="KY18" s="28"/>
      <c r="KZ18" s="28"/>
      <c r="LA18" s="28"/>
      <c r="LB18" s="28"/>
      <c r="LC18" s="28"/>
      <c r="LD18" s="28"/>
      <c r="LE18" s="28"/>
      <c r="LF18" s="28"/>
      <c r="LG18" s="28"/>
      <c r="LH18" s="28"/>
      <c r="LI18" s="28"/>
      <c r="LJ18" s="28"/>
      <c r="LK18" s="28"/>
      <c r="LL18" s="28"/>
      <c r="LM18" s="28"/>
      <c r="LN18" s="28"/>
      <c r="LO18" s="28"/>
      <c r="LP18" s="28"/>
      <c r="LQ18" s="28"/>
      <c r="LR18" s="28"/>
      <c r="LS18" s="28"/>
      <c r="LT18" s="28"/>
      <c r="LU18" s="28"/>
      <c r="LV18" s="28"/>
      <c r="LW18" s="28"/>
      <c r="LX18" s="28"/>
      <c r="LY18" s="28"/>
      <c r="LZ18" s="28"/>
      <c r="MA18" s="28"/>
      <c r="MB18" s="28"/>
      <c r="MC18" s="28"/>
      <c r="MD18" s="28"/>
      <c r="ME18" s="28"/>
      <c r="MF18" s="28"/>
      <c r="MG18" s="28"/>
      <c r="MH18" s="28"/>
      <c r="MI18" s="28"/>
      <c r="MJ18" s="28"/>
      <c r="MK18" s="28"/>
      <c r="ML18" s="28"/>
      <c r="MM18" s="28"/>
      <c r="MN18" s="28"/>
      <c r="MO18" s="28"/>
      <c r="MP18" s="28"/>
      <c r="MQ18" s="28"/>
      <c r="MR18" s="28"/>
      <c r="MS18" s="28"/>
      <c r="MT18" s="28"/>
      <c r="MU18" s="28"/>
      <c r="MV18" s="28"/>
      <c r="MW18" s="28"/>
      <c r="MX18" s="28"/>
      <c r="MY18" s="28"/>
      <c r="MZ18" s="28"/>
      <c r="NA18" s="28"/>
    </row>
    <row r="19" spans="1:365" s="3" customFormat="1" ht="30" customHeight="1" thickBot="1" x14ac:dyDescent="0.3">
      <c r="A19" s="41"/>
      <c r="B19" s="60" t="s">
        <v>32</v>
      </c>
      <c r="C19" s="56" t="s">
        <v>24</v>
      </c>
      <c r="D19" s="21">
        <v>1</v>
      </c>
      <c r="E19" s="54">
        <v>45986</v>
      </c>
      <c r="F19" s="54">
        <v>45988</v>
      </c>
      <c r="G19" s="17"/>
      <c r="H19" s="17">
        <f t="shared" si="346"/>
        <v>3</v>
      </c>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c r="IF19" s="28"/>
      <c r="IG19" s="28"/>
      <c r="IH19" s="28"/>
      <c r="II19" s="28"/>
      <c r="IJ19" s="28"/>
      <c r="IK19" s="28"/>
      <c r="IL19" s="28"/>
      <c r="IM19" s="28"/>
      <c r="IN19" s="28"/>
      <c r="IO19" s="28"/>
      <c r="IP19" s="28"/>
      <c r="IQ19" s="28"/>
      <c r="IR19" s="28"/>
      <c r="IS19" s="28"/>
      <c r="IT19" s="28"/>
      <c r="IU19" s="28"/>
      <c r="IV19" s="28"/>
      <c r="IW19" s="28"/>
      <c r="IX19" s="28"/>
      <c r="IY19" s="28"/>
      <c r="IZ19" s="28"/>
      <c r="JA19" s="28"/>
      <c r="JB19" s="28"/>
      <c r="JC19" s="28"/>
      <c r="JD19" s="28"/>
      <c r="JE19" s="28"/>
      <c r="JF19" s="28"/>
      <c r="JG19" s="28"/>
      <c r="JH19" s="28"/>
      <c r="JI19" s="28"/>
      <c r="JJ19" s="28"/>
      <c r="JK19" s="28"/>
      <c r="JL19" s="28"/>
      <c r="JM19" s="28"/>
      <c r="JN19" s="28"/>
      <c r="JO19" s="28"/>
      <c r="JP19" s="28"/>
      <c r="JQ19" s="28"/>
      <c r="JR19" s="28"/>
      <c r="JS19" s="28"/>
      <c r="JT19" s="28"/>
      <c r="JU19" s="28"/>
      <c r="JV19" s="28"/>
      <c r="JW19" s="28"/>
      <c r="JX19" s="28"/>
      <c r="JY19" s="28"/>
      <c r="JZ19" s="28"/>
      <c r="KA19" s="28"/>
      <c r="KB19" s="28"/>
      <c r="KC19" s="28"/>
      <c r="KD19" s="28"/>
      <c r="KE19" s="28"/>
      <c r="KF19" s="28"/>
      <c r="KG19" s="28"/>
      <c r="KH19" s="28"/>
      <c r="KI19" s="28"/>
      <c r="KJ19" s="28"/>
      <c r="KK19" s="28"/>
      <c r="KL19" s="28"/>
      <c r="KM19" s="28"/>
      <c r="KN19" s="28"/>
      <c r="KO19" s="28"/>
      <c r="KP19" s="28"/>
      <c r="KQ19" s="28"/>
      <c r="KR19" s="28"/>
      <c r="KS19" s="28"/>
      <c r="KT19" s="28"/>
      <c r="KU19" s="28"/>
      <c r="KV19" s="28"/>
      <c r="KW19" s="28"/>
      <c r="KX19" s="28"/>
      <c r="KY19" s="28"/>
      <c r="KZ19" s="28"/>
      <c r="LA19" s="28"/>
      <c r="LB19" s="28"/>
      <c r="LC19" s="28"/>
      <c r="LD19" s="28"/>
      <c r="LE19" s="28"/>
      <c r="LF19" s="28"/>
      <c r="LG19" s="28"/>
      <c r="LH19" s="28"/>
      <c r="LI19" s="28"/>
      <c r="LJ19" s="28"/>
      <c r="LK19" s="28"/>
      <c r="LL19" s="28"/>
      <c r="LM19" s="28"/>
      <c r="LN19" s="28"/>
      <c r="LO19" s="28"/>
      <c r="LP19" s="28"/>
      <c r="LQ19" s="28"/>
      <c r="LR19" s="28"/>
      <c r="LS19" s="28"/>
      <c r="LT19" s="28"/>
      <c r="LU19" s="28"/>
      <c r="LV19" s="28"/>
      <c r="LW19" s="28"/>
      <c r="LX19" s="28"/>
      <c r="LY19" s="28"/>
      <c r="LZ19" s="28"/>
      <c r="MA19" s="28"/>
      <c r="MB19" s="28"/>
      <c r="MC19" s="28"/>
      <c r="MD19" s="28"/>
      <c r="ME19" s="28"/>
      <c r="MF19" s="28"/>
      <c r="MG19" s="28"/>
      <c r="MH19" s="28"/>
      <c r="MI19" s="28"/>
      <c r="MJ19" s="28"/>
      <c r="MK19" s="28"/>
      <c r="ML19" s="28"/>
      <c r="MM19" s="28"/>
      <c r="MN19" s="28"/>
      <c r="MO19" s="28"/>
      <c r="MP19" s="28"/>
      <c r="MQ19" s="28"/>
      <c r="MR19" s="28"/>
      <c r="MS19" s="28"/>
      <c r="MT19" s="28"/>
      <c r="MU19" s="28"/>
      <c r="MV19" s="28"/>
      <c r="MW19" s="28"/>
      <c r="MX19" s="28"/>
      <c r="MY19" s="28"/>
      <c r="MZ19" s="28"/>
      <c r="NA19" s="28"/>
    </row>
    <row r="20" spans="1:365" s="3" customFormat="1" ht="30" customHeight="1" thickBot="1" x14ac:dyDescent="0.3">
      <c r="A20" s="41"/>
      <c r="B20" s="59" t="s">
        <v>33</v>
      </c>
      <c r="C20" s="51" t="s">
        <v>21</v>
      </c>
      <c r="D20" s="21">
        <v>1</v>
      </c>
      <c r="E20" s="54">
        <v>45989</v>
      </c>
      <c r="F20" s="54">
        <v>45989</v>
      </c>
      <c r="G20" s="17"/>
      <c r="H20" s="17">
        <v>1</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c r="IF20" s="28"/>
      <c r="IG20" s="28"/>
      <c r="IH20" s="28"/>
      <c r="II20" s="28"/>
      <c r="IJ20" s="28"/>
      <c r="IK20" s="28"/>
      <c r="IL20" s="28"/>
      <c r="IM20" s="28"/>
      <c r="IN20" s="28"/>
      <c r="IO20" s="28"/>
      <c r="IP20" s="28"/>
      <c r="IQ20" s="28"/>
      <c r="IR20" s="28"/>
      <c r="IS20" s="28"/>
      <c r="IT20" s="28"/>
      <c r="IU20" s="28"/>
      <c r="IV20" s="28"/>
      <c r="IW20" s="28"/>
      <c r="IX20" s="28"/>
      <c r="IY20" s="28"/>
      <c r="IZ20" s="28"/>
      <c r="JA20" s="28"/>
      <c r="JB20" s="28"/>
      <c r="JC20" s="28"/>
      <c r="JD20" s="28"/>
      <c r="JE20" s="28"/>
      <c r="JF20" s="28"/>
      <c r="JG20" s="28"/>
      <c r="JH20" s="28"/>
      <c r="JI20" s="28"/>
      <c r="JJ20" s="28"/>
      <c r="JK20" s="28"/>
      <c r="JL20" s="28"/>
      <c r="JM20" s="28"/>
      <c r="JN20" s="28"/>
      <c r="JO20" s="28"/>
      <c r="JP20" s="28"/>
      <c r="JQ20" s="28"/>
      <c r="JR20" s="28"/>
      <c r="JS20" s="28"/>
      <c r="JT20" s="28"/>
      <c r="JU20" s="28"/>
      <c r="JV20" s="28"/>
      <c r="JW20" s="28"/>
      <c r="JX20" s="28"/>
      <c r="JY20" s="28"/>
      <c r="JZ20" s="28"/>
      <c r="KA20" s="28"/>
      <c r="KB20" s="28"/>
      <c r="KC20" s="28"/>
      <c r="KD20" s="28"/>
      <c r="KE20" s="28"/>
      <c r="KF20" s="28"/>
      <c r="KG20" s="28"/>
      <c r="KH20" s="28"/>
      <c r="KI20" s="28"/>
      <c r="KJ20" s="28"/>
      <c r="KK20" s="28"/>
      <c r="KL20" s="28"/>
      <c r="KM20" s="28"/>
      <c r="KN20" s="28"/>
      <c r="KO20" s="28"/>
      <c r="KP20" s="28"/>
      <c r="KQ20" s="28"/>
      <c r="KR20" s="28"/>
      <c r="KS20" s="28"/>
      <c r="KT20" s="28"/>
      <c r="KU20" s="28"/>
      <c r="KV20" s="28"/>
      <c r="KW20" s="28"/>
      <c r="KX20" s="28"/>
      <c r="KY20" s="28"/>
      <c r="KZ20" s="28"/>
      <c r="LA20" s="28"/>
      <c r="LB20" s="28"/>
      <c r="LC20" s="28"/>
      <c r="LD20" s="28"/>
      <c r="LE20" s="28"/>
      <c r="LF20" s="28"/>
      <c r="LG20" s="28"/>
      <c r="LH20" s="28"/>
      <c r="LI20" s="28"/>
      <c r="LJ20" s="28"/>
      <c r="LK20" s="28"/>
      <c r="LL20" s="28"/>
      <c r="LM20" s="28"/>
      <c r="LN20" s="28"/>
      <c r="LO20" s="28"/>
      <c r="LP20" s="28"/>
      <c r="LQ20" s="28"/>
      <c r="LR20" s="28"/>
      <c r="LS20" s="28"/>
      <c r="LT20" s="28"/>
      <c r="LU20" s="28"/>
      <c r="LV20" s="28"/>
      <c r="LW20" s="28"/>
      <c r="LX20" s="28"/>
      <c r="LY20" s="28"/>
      <c r="LZ20" s="28"/>
      <c r="MA20" s="28"/>
      <c r="MB20" s="28"/>
      <c r="MC20" s="28"/>
      <c r="MD20" s="28"/>
      <c r="ME20" s="28"/>
      <c r="MF20" s="28"/>
      <c r="MG20" s="28"/>
      <c r="MH20" s="28"/>
      <c r="MI20" s="28"/>
      <c r="MJ20" s="28"/>
      <c r="MK20" s="28"/>
      <c r="ML20" s="28"/>
      <c r="MM20" s="28"/>
      <c r="MN20" s="28"/>
      <c r="MO20" s="28"/>
      <c r="MP20" s="28"/>
      <c r="MQ20" s="28"/>
      <c r="MR20" s="28"/>
      <c r="MS20" s="28"/>
      <c r="MT20" s="28"/>
      <c r="MU20" s="28"/>
      <c r="MV20" s="28"/>
      <c r="MW20" s="28"/>
      <c r="MX20" s="28"/>
      <c r="MY20" s="28"/>
      <c r="MZ20" s="28"/>
      <c r="NA20" s="28"/>
    </row>
    <row r="21" spans="1:365" s="3" customFormat="1" ht="30" customHeight="1" thickBot="1" x14ac:dyDescent="0.3">
      <c r="A21" s="41"/>
      <c r="B21" s="59" t="s">
        <v>34</v>
      </c>
      <c r="C21" s="51"/>
      <c r="D21" s="21">
        <v>1</v>
      </c>
      <c r="E21" s="54">
        <v>45999</v>
      </c>
      <c r="F21" s="54">
        <v>45999</v>
      </c>
      <c r="G21" s="17"/>
      <c r="H21" s="17">
        <v>1</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c r="IN21" s="28"/>
      <c r="IO21" s="28"/>
      <c r="IP21" s="28"/>
      <c r="IQ21" s="28"/>
      <c r="IR21" s="28"/>
      <c r="IS21" s="28"/>
      <c r="IT21" s="28"/>
      <c r="IU21" s="28"/>
      <c r="IV21" s="28"/>
      <c r="IW21" s="28"/>
      <c r="IX21" s="28"/>
      <c r="IY21" s="28"/>
      <c r="IZ21" s="28"/>
      <c r="JA21" s="28"/>
      <c r="JB21" s="28"/>
      <c r="JC21" s="28"/>
      <c r="JD21" s="28"/>
      <c r="JE21" s="28"/>
      <c r="JF21" s="28"/>
      <c r="JG21" s="28"/>
      <c r="JH21" s="28"/>
      <c r="JI21" s="28"/>
      <c r="JJ21" s="28"/>
      <c r="JK21" s="28"/>
      <c r="JL21" s="28"/>
      <c r="JM21" s="28"/>
      <c r="JN21" s="28"/>
      <c r="JO21" s="28"/>
      <c r="JP21" s="28"/>
      <c r="JQ21" s="28"/>
      <c r="JR21" s="28"/>
      <c r="JS21" s="28"/>
      <c r="JT21" s="28"/>
      <c r="JU21" s="28"/>
      <c r="JV21" s="28"/>
      <c r="JW21" s="28"/>
      <c r="JX21" s="28"/>
      <c r="JY21" s="28"/>
      <c r="JZ21" s="28"/>
      <c r="KA21" s="28"/>
      <c r="KB21" s="28"/>
      <c r="KC21" s="28"/>
      <c r="KD21" s="28"/>
      <c r="KE21" s="28"/>
      <c r="KF21" s="28"/>
      <c r="KG21" s="28"/>
      <c r="KH21" s="28"/>
      <c r="KI21" s="28"/>
      <c r="KJ21" s="28"/>
      <c r="KK21" s="28"/>
      <c r="KL21" s="28"/>
      <c r="KM21" s="28"/>
      <c r="KN21" s="28"/>
      <c r="KO21" s="28"/>
      <c r="KP21" s="28"/>
      <c r="KQ21" s="28"/>
      <c r="KR21" s="28"/>
      <c r="KS21" s="28"/>
      <c r="KT21" s="28"/>
      <c r="KU21" s="28"/>
      <c r="KV21" s="28"/>
      <c r="KW21" s="28"/>
      <c r="KX21" s="28"/>
      <c r="KY21" s="28"/>
      <c r="KZ21" s="28"/>
      <c r="LA21" s="28"/>
      <c r="LB21" s="28"/>
      <c r="LC21" s="28"/>
      <c r="LD21" s="28"/>
      <c r="LE21" s="28"/>
      <c r="LF21" s="28"/>
      <c r="LG21" s="28"/>
      <c r="LH21" s="28"/>
      <c r="LI21" s="28"/>
      <c r="LJ21" s="28"/>
      <c r="LK21" s="28"/>
      <c r="LL21" s="28"/>
      <c r="LM21" s="28"/>
      <c r="LN21" s="28"/>
      <c r="LO21" s="28"/>
      <c r="LP21" s="28"/>
      <c r="LQ21" s="28"/>
      <c r="LR21" s="28"/>
      <c r="LS21" s="28"/>
      <c r="LT21" s="28"/>
      <c r="LU21" s="28"/>
      <c r="LV21" s="28"/>
      <c r="LW21" s="28"/>
      <c r="LX21" s="28"/>
      <c r="LY21" s="28"/>
      <c r="LZ21" s="28"/>
      <c r="MA21" s="28"/>
      <c r="MB21" s="28"/>
      <c r="MC21" s="28"/>
      <c r="MD21" s="28"/>
      <c r="ME21" s="28"/>
      <c r="MF21" s="28"/>
      <c r="MG21" s="28"/>
      <c r="MH21" s="28"/>
      <c r="MI21" s="28"/>
      <c r="MJ21" s="28"/>
      <c r="MK21" s="28"/>
      <c r="ML21" s="28"/>
      <c r="MM21" s="28"/>
      <c r="MN21" s="28"/>
      <c r="MO21" s="28"/>
      <c r="MP21" s="28"/>
      <c r="MQ21" s="28"/>
      <c r="MR21" s="28"/>
      <c r="MS21" s="28"/>
      <c r="MT21" s="28"/>
      <c r="MU21" s="28"/>
      <c r="MV21" s="28"/>
      <c r="MW21" s="28"/>
      <c r="MX21" s="28"/>
      <c r="MY21" s="28"/>
      <c r="MZ21" s="28"/>
      <c r="NA21" s="28"/>
    </row>
    <row r="22" spans="1:365" s="3" customFormat="1" ht="30" customHeight="1" thickBot="1" x14ac:dyDescent="0.3">
      <c r="A22" s="41"/>
      <c r="B22" s="65" t="s">
        <v>35</v>
      </c>
      <c r="C22" s="61"/>
      <c r="D22" s="62"/>
      <c r="E22" s="63"/>
      <c r="F22" s="63"/>
      <c r="G22" s="17"/>
      <c r="H22" s="17"/>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c r="IN22" s="28"/>
      <c r="IO22" s="28"/>
      <c r="IP22" s="28"/>
      <c r="IQ22" s="28"/>
      <c r="IR22" s="28"/>
      <c r="IS22" s="28"/>
      <c r="IT22" s="28"/>
      <c r="IU22" s="28"/>
      <c r="IV22" s="28"/>
      <c r="IW22" s="28"/>
      <c r="IX22" s="28"/>
      <c r="IY22" s="28"/>
      <c r="IZ22" s="28"/>
      <c r="JA22" s="28"/>
      <c r="JB22" s="28"/>
      <c r="JC22" s="28"/>
      <c r="JD22" s="28"/>
      <c r="JE22" s="28"/>
      <c r="JF22" s="28"/>
      <c r="JG22" s="28"/>
      <c r="JH22" s="28"/>
      <c r="JI22" s="28"/>
      <c r="JJ22" s="28"/>
      <c r="JK22" s="28"/>
      <c r="JL22" s="28"/>
      <c r="JM22" s="28"/>
      <c r="JN22" s="28"/>
      <c r="JO22" s="28"/>
      <c r="JP22" s="28"/>
      <c r="JQ22" s="28"/>
      <c r="JR22" s="28"/>
      <c r="JS22" s="28"/>
      <c r="JT22" s="28"/>
      <c r="JU22" s="28"/>
      <c r="JV22" s="28"/>
      <c r="JW22" s="28"/>
      <c r="JX22" s="28"/>
      <c r="JY22" s="28"/>
      <c r="JZ22" s="28"/>
      <c r="KA22" s="28"/>
      <c r="KB22" s="28"/>
      <c r="KC22" s="28"/>
      <c r="KD22" s="28"/>
      <c r="KE22" s="28"/>
      <c r="KF22" s="28"/>
      <c r="KG22" s="28"/>
      <c r="KH22" s="28"/>
      <c r="KI22" s="28"/>
      <c r="KJ22" s="28"/>
      <c r="KK22" s="28"/>
      <c r="KL22" s="28"/>
      <c r="KM22" s="28"/>
      <c r="KN22" s="28"/>
      <c r="KO22" s="28"/>
      <c r="KP22" s="28"/>
      <c r="KQ22" s="28"/>
      <c r="KR22" s="28"/>
      <c r="KS22" s="28"/>
      <c r="KT22" s="28"/>
      <c r="KU22" s="28"/>
      <c r="KV22" s="28"/>
      <c r="KW22" s="28"/>
      <c r="KX22" s="28"/>
      <c r="KY22" s="28"/>
      <c r="KZ22" s="28"/>
      <c r="LA22" s="28"/>
      <c r="LB22" s="28"/>
      <c r="LC22" s="28"/>
      <c r="LD22" s="28"/>
      <c r="LE22" s="28"/>
      <c r="LF22" s="28"/>
      <c r="LG22" s="28"/>
      <c r="LH22" s="28"/>
      <c r="LI22" s="28"/>
      <c r="LJ22" s="28"/>
      <c r="LK22" s="28"/>
      <c r="LL22" s="28"/>
      <c r="LM22" s="28"/>
      <c r="LN22" s="28"/>
      <c r="LO22" s="28"/>
      <c r="LP22" s="28"/>
      <c r="LQ22" s="28"/>
      <c r="LR22" s="28"/>
      <c r="LS22" s="28"/>
      <c r="LT22" s="28"/>
      <c r="LU22" s="28"/>
      <c r="LV22" s="28"/>
      <c r="LW22" s="28"/>
      <c r="LX22" s="28"/>
      <c r="LY22" s="28"/>
      <c r="LZ22" s="28"/>
      <c r="MA22" s="28"/>
      <c r="MB22" s="28"/>
      <c r="MC22" s="28"/>
      <c r="MD22" s="28"/>
      <c r="ME22" s="28"/>
      <c r="MF22" s="28"/>
      <c r="MG22" s="28"/>
      <c r="MH22" s="28"/>
      <c r="MI22" s="28"/>
      <c r="MJ22" s="28"/>
      <c r="MK22" s="28"/>
      <c r="ML22" s="28"/>
      <c r="MM22" s="28"/>
      <c r="MN22" s="28"/>
      <c r="MO22" s="28"/>
      <c r="MP22" s="28"/>
      <c r="MQ22" s="28"/>
      <c r="MR22" s="28"/>
      <c r="MS22" s="28"/>
      <c r="MT22" s="28"/>
      <c r="MU22" s="28"/>
      <c r="MV22" s="28"/>
      <c r="MW22" s="28"/>
      <c r="MX22" s="28"/>
      <c r="MY22" s="28"/>
      <c r="MZ22" s="28"/>
      <c r="NA22" s="28"/>
    </row>
    <row r="23" spans="1:365" s="3" customFormat="1" ht="30" customHeight="1" thickBot="1" x14ac:dyDescent="0.3">
      <c r="A23" s="41"/>
      <c r="B23" s="69" t="s">
        <v>37</v>
      </c>
      <c r="C23" s="66" t="s">
        <v>24</v>
      </c>
      <c r="D23" s="67">
        <v>1</v>
      </c>
      <c r="E23" s="68">
        <v>46156</v>
      </c>
      <c r="F23" s="68">
        <v>46156</v>
      </c>
      <c r="G23" s="17"/>
      <c r="H23" s="17">
        <v>1</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c r="IN23" s="28"/>
      <c r="IO23" s="28"/>
      <c r="IP23" s="28"/>
      <c r="IQ23" s="28"/>
      <c r="IR23" s="28"/>
      <c r="IS23" s="28"/>
      <c r="IT23" s="28"/>
      <c r="IU23" s="28"/>
      <c r="IV23" s="28"/>
      <c r="IW23" s="28"/>
      <c r="IX23" s="28"/>
      <c r="IY23" s="28"/>
      <c r="IZ23" s="28"/>
      <c r="JA23" s="28"/>
      <c r="JB23" s="28"/>
      <c r="JC23" s="28"/>
      <c r="JD23" s="28"/>
      <c r="JE23" s="28"/>
      <c r="JF23" s="28"/>
      <c r="JG23" s="28"/>
      <c r="JH23" s="28"/>
      <c r="JI23" s="28"/>
      <c r="JJ23" s="28"/>
      <c r="JK23" s="28"/>
      <c r="JL23" s="28"/>
      <c r="JM23" s="28"/>
      <c r="JN23" s="28"/>
      <c r="JO23" s="28"/>
      <c r="JP23" s="28"/>
      <c r="JQ23" s="28"/>
      <c r="JR23" s="28"/>
      <c r="JS23" s="28"/>
      <c r="JT23" s="28"/>
      <c r="JU23" s="28"/>
      <c r="JV23" s="28"/>
      <c r="JW23" s="28"/>
      <c r="JX23" s="28"/>
      <c r="JY23" s="28"/>
      <c r="JZ23" s="28"/>
      <c r="KA23" s="28"/>
      <c r="KB23" s="28"/>
      <c r="KC23" s="28"/>
      <c r="KD23" s="28"/>
      <c r="KE23" s="28"/>
      <c r="KF23" s="28"/>
      <c r="KG23" s="28"/>
      <c r="KH23" s="28"/>
      <c r="KI23" s="28"/>
      <c r="KJ23" s="28"/>
      <c r="KK23" s="28"/>
      <c r="KL23" s="28"/>
      <c r="KM23" s="28"/>
      <c r="KN23" s="28"/>
      <c r="KO23" s="28"/>
      <c r="KP23" s="28"/>
      <c r="KQ23" s="28"/>
      <c r="KR23" s="28"/>
      <c r="KS23" s="28"/>
      <c r="KT23" s="28"/>
      <c r="KU23" s="28"/>
      <c r="KV23" s="28"/>
      <c r="KW23" s="28"/>
      <c r="KX23" s="28"/>
      <c r="KY23" s="28"/>
      <c r="KZ23" s="28"/>
      <c r="LA23" s="28"/>
      <c r="LB23" s="28"/>
      <c r="LC23" s="28"/>
      <c r="LD23" s="28"/>
      <c r="LE23" s="28"/>
      <c r="LF23" s="28"/>
      <c r="LG23" s="28"/>
      <c r="LH23" s="28"/>
      <c r="LI23" s="28"/>
      <c r="LJ23" s="28"/>
      <c r="LK23" s="28"/>
      <c r="LL23" s="28"/>
      <c r="LM23" s="28"/>
      <c r="LN23" s="28"/>
      <c r="LO23" s="28"/>
      <c r="LP23" s="28"/>
      <c r="LQ23" s="28"/>
      <c r="LR23" s="28"/>
      <c r="LS23" s="28"/>
      <c r="LT23" s="28"/>
      <c r="LU23" s="28"/>
      <c r="LV23" s="28"/>
      <c r="LW23" s="28"/>
      <c r="LX23" s="28"/>
      <c r="LY23" s="28"/>
      <c r="LZ23" s="28"/>
      <c r="MA23" s="28"/>
      <c r="MB23" s="28"/>
      <c r="MC23" s="28"/>
      <c r="MD23" s="28"/>
      <c r="ME23" s="28"/>
      <c r="MF23" s="28"/>
      <c r="MG23" s="28"/>
      <c r="MH23" s="28"/>
      <c r="MI23" s="28"/>
      <c r="MJ23" s="28"/>
      <c r="MK23" s="28"/>
      <c r="ML23" s="28"/>
      <c r="MM23" s="28"/>
      <c r="MN23" s="28"/>
      <c r="MO23" s="28"/>
      <c r="MP23" s="28"/>
      <c r="MQ23" s="28"/>
      <c r="MR23" s="28"/>
      <c r="MS23" s="28"/>
      <c r="MT23" s="28"/>
      <c r="MU23" s="28"/>
      <c r="MV23" s="28"/>
      <c r="MW23" s="28"/>
      <c r="MX23" s="28"/>
      <c r="MY23" s="28"/>
      <c r="MZ23" s="28"/>
      <c r="NA23" s="28"/>
    </row>
    <row r="24" spans="1:365" s="3" customFormat="1" ht="30" customHeight="1" thickBot="1" x14ac:dyDescent="0.3">
      <c r="A24" s="41"/>
      <c r="B24" s="69" t="s">
        <v>38</v>
      </c>
      <c r="C24" s="66" t="s">
        <v>21</v>
      </c>
      <c r="D24" s="67">
        <v>1</v>
      </c>
      <c r="E24" s="68">
        <v>46153</v>
      </c>
      <c r="F24" s="68">
        <v>46157</v>
      </c>
      <c r="G24" s="17"/>
      <c r="H24" s="17">
        <v>4</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c r="IN24" s="28"/>
      <c r="IO24" s="28"/>
      <c r="IP24" s="28"/>
      <c r="IQ24" s="28"/>
      <c r="IR24" s="28"/>
      <c r="IS24" s="28"/>
      <c r="IT24" s="28"/>
      <c r="IU24" s="28"/>
      <c r="IV24" s="28"/>
      <c r="IW24" s="28"/>
      <c r="IX24" s="28"/>
      <c r="IY24" s="28"/>
      <c r="IZ24" s="28"/>
      <c r="JA24" s="28"/>
      <c r="JB24" s="28"/>
      <c r="JC24" s="28"/>
      <c r="JD24" s="28"/>
      <c r="JE24" s="28"/>
      <c r="JF24" s="28"/>
      <c r="JG24" s="28"/>
      <c r="JH24" s="28"/>
      <c r="JI24" s="28"/>
      <c r="JJ24" s="28"/>
      <c r="JK24" s="28"/>
      <c r="JL24" s="28"/>
      <c r="JM24" s="28"/>
      <c r="JN24" s="28"/>
      <c r="JO24" s="28"/>
      <c r="JP24" s="28"/>
      <c r="JQ24" s="28"/>
      <c r="JR24" s="28"/>
      <c r="JS24" s="28"/>
      <c r="JT24" s="28"/>
      <c r="JU24" s="28"/>
      <c r="JV24" s="28"/>
      <c r="JW24" s="28"/>
      <c r="JX24" s="28"/>
      <c r="JY24" s="28"/>
      <c r="JZ24" s="28"/>
      <c r="KA24" s="28"/>
      <c r="KB24" s="28"/>
      <c r="KC24" s="28"/>
      <c r="KD24" s="28"/>
      <c r="KE24" s="28"/>
      <c r="KF24" s="28"/>
      <c r="KG24" s="28"/>
      <c r="KH24" s="28"/>
      <c r="KI24" s="28"/>
      <c r="KJ24" s="28"/>
      <c r="KK24" s="28"/>
      <c r="KL24" s="28"/>
      <c r="KM24" s="28"/>
      <c r="KN24" s="28"/>
      <c r="KO24" s="28"/>
      <c r="KP24" s="28"/>
      <c r="KQ24" s="28"/>
      <c r="KR24" s="28"/>
      <c r="KS24" s="28"/>
      <c r="KT24" s="28"/>
      <c r="KU24" s="28"/>
      <c r="KV24" s="28"/>
      <c r="KW24" s="28"/>
      <c r="KX24" s="28"/>
      <c r="KY24" s="28"/>
      <c r="KZ24" s="28"/>
      <c r="LA24" s="28"/>
      <c r="LB24" s="28"/>
      <c r="LC24" s="28"/>
      <c r="LD24" s="28"/>
      <c r="LE24" s="28"/>
      <c r="LF24" s="28"/>
      <c r="LG24" s="28"/>
      <c r="LH24" s="28"/>
      <c r="LI24" s="28"/>
      <c r="LJ24" s="28"/>
      <c r="LK24" s="28"/>
      <c r="LL24" s="28"/>
      <c r="LM24" s="28"/>
      <c r="LN24" s="28"/>
      <c r="LO24" s="28"/>
      <c r="LP24" s="28"/>
      <c r="LQ24" s="28"/>
      <c r="LR24" s="28"/>
      <c r="LS24" s="28"/>
      <c r="LT24" s="28"/>
      <c r="LU24" s="28"/>
      <c r="LV24" s="28"/>
      <c r="LW24" s="28"/>
      <c r="LX24" s="28"/>
      <c r="LY24" s="28"/>
      <c r="LZ24" s="28"/>
      <c r="MA24" s="28"/>
      <c r="MB24" s="28"/>
      <c r="MC24" s="28"/>
      <c r="MD24" s="28"/>
      <c r="ME24" s="28"/>
      <c r="MF24" s="28"/>
      <c r="MG24" s="28"/>
      <c r="MH24" s="28"/>
      <c r="MI24" s="28"/>
      <c r="MJ24" s="28"/>
      <c r="MK24" s="28"/>
      <c r="ML24" s="28"/>
      <c r="MM24" s="28"/>
      <c r="MN24" s="28"/>
      <c r="MO24" s="28"/>
      <c r="MP24" s="28"/>
      <c r="MQ24" s="28"/>
      <c r="MR24" s="28"/>
      <c r="MS24" s="28"/>
      <c r="MT24" s="28"/>
      <c r="MU24" s="28"/>
      <c r="MV24" s="28"/>
      <c r="MW24" s="28"/>
      <c r="MX24" s="28"/>
      <c r="MY24" s="28"/>
      <c r="MZ24" s="28"/>
      <c r="NA24" s="28"/>
    </row>
    <row r="25" spans="1:365" s="3" customFormat="1" ht="30" customHeight="1" thickBot="1" x14ac:dyDescent="0.3">
      <c r="A25" s="41"/>
      <c r="B25" s="69" t="s">
        <v>39</v>
      </c>
      <c r="C25" s="66" t="s">
        <v>21</v>
      </c>
      <c r="D25" s="67">
        <v>1</v>
      </c>
      <c r="E25" s="68">
        <v>46157</v>
      </c>
      <c r="F25" s="68">
        <v>46171</v>
      </c>
      <c r="G25" s="17"/>
      <c r="H25" s="17">
        <v>14</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c r="IV25" s="28"/>
      <c r="IW25" s="28"/>
      <c r="IX25" s="28"/>
      <c r="IY25" s="28"/>
      <c r="IZ25" s="28"/>
      <c r="JA25" s="28"/>
      <c r="JB25" s="28"/>
      <c r="JC25" s="28"/>
      <c r="JD25" s="28"/>
      <c r="JE25" s="28"/>
      <c r="JF25" s="28"/>
      <c r="JG25" s="28"/>
      <c r="JH25" s="28"/>
      <c r="JI25" s="28"/>
      <c r="JJ25" s="28"/>
      <c r="JK25" s="28"/>
      <c r="JL25" s="28"/>
      <c r="JM25" s="28"/>
      <c r="JN25" s="28"/>
      <c r="JO25" s="28"/>
      <c r="JP25" s="28"/>
      <c r="JQ25" s="28"/>
      <c r="JR25" s="28"/>
      <c r="JS25" s="28"/>
      <c r="JT25" s="28"/>
      <c r="JU25" s="28"/>
      <c r="JV25" s="28"/>
      <c r="JW25" s="28"/>
      <c r="JX25" s="28"/>
      <c r="JY25" s="28"/>
      <c r="JZ25" s="28"/>
      <c r="KA25" s="28"/>
      <c r="KB25" s="28"/>
      <c r="KC25" s="28"/>
      <c r="KD25" s="28"/>
      <c r="KE25" s="28"/>
      <c r="KF25" s="28"/>
      <c r="KG25" s="28"/>
      <c r="KH25" s="28"/>
      <c r="KI25" s="28"/>
      <c r="KJ25" s="28"/>
      <c r="KK25" s="28"/>
      <c r="KL25" s="28"/>
      <c r="KM25" s="28"/>
      <c r="KN25" s="28"/>
      <c r="KO25" s="28"/>
      <c r="KP25" s="28"/>
      <c r="KQ25" s="28"/>
      <c r="KR25" s="28"/>
      <c r="KS25" s="28"/>
      <c r="KT25" s="28"/>
      <c r="KU25" s="28"/>
      <c r="KV25" s="28"/>
      <c r="KW25" s="28"/>
      <c r="KX25" s="28"/>
      <c r="KY25" s="28"/>
      <c r="KZ25" s="28"/>
      <c r="LA25" s="28"/>
      <c r="LB25" s="28"/>
      <c r="LC25" s="28"/>
      <c r="LD25" s="28"/>
      <c r="LE25" s="28"/>
      <c r="LF25" s="28"/>
      <c r="LG25" s="28"/>
      <c r="LH25" s="28"/>
      <c r="LI25" s="28"/>
      <c r="LJ25" s="28"/>
      <c r="LK25" s="28"/>
      <c r="LL25" s="28"/>
      <c r="LM25" s="28"/>
      <c r="LN25" s="28"/>
      <c r="LO25" s="28"/>
      <c r="LP25" s="28"/>
      <c r="LQ25" s="28"/>
      <c r="LR25" s="28"/>
      <c r="LS25" s="28"/>
      <c r="LT25" s="28"/>
      <c r="LU25" s="28"/>
      <c r="LV25" s="28"/>
      <c r="LW25" s="28"/>
      <c r="LX25" s="28"/>
      <c r="LY25" s="28"/>
      <c r="LZ25" s="28"/>
      <c r="MA25" s="28"/>
      <c r="MB25" s="28"/>
      <c r="MC25" s="28"/>
      <c r="MD25" s="28"/>
      <c r="ME25" s="28"/>
      <c r="MF25" s="28"/>
      <c r="MG25" s="28"/>
      <c r="MH25" s="28"/>
      <c r="MI25" s="28"/>
      <c r="MJ25" s="28"/>
      <c r="MK25" s="28"/>
      <c r="ML25" s="28"/>
      <c r="MM25" s="28"/>
      <c r="MN25" s="28"/>
      <c r="MO25" s="28"/>
      <c r="MP25" s="28"/>
      <c r="MQ25" s="28"/>
      <c r="MR25" s="28"/>
      <c r="MS25" s="28"/>
      <c r="MT25" s="28"/>
      <c r="MU25" s="28"/>
      <c r="MV25" s="28"/>
      <c r="MW25" s="28"/>
      <c r="MX25" s="28"/>
      <c r="MY25" s="28"/>
      <c r="MZ25" s="28"/>
      <c r="NA25" s="28"/>
    </row>
    <row r="26" spans="1:365" s="3" customFormat="1" ht="30" customHeight="1" thickBot="1" x14ac:dyDescent="0.3">
      <c r="A26" s="41"/>
      <c r="B26" s="70" t="s">
        <v>40</v>
      </c>
      <c r="C26" s="66" t="s">
        <v>21</v>
      </c>
      <c r="D26" s="67">
        <v>1</v>
      </c>
      <c r="E26" s="68">
        <v>46171</v>
      </c>
      <c r="F26" s="68">
        <v>46189</v>
      </c>
      <c r="G26" s="17"/>
      <c r="H26" s="17">
        <v>18</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c r="IN26" s="28"/>
      <c r="IO26" s="28"/>
      <c r="IP26" s="28"/>
      <c r="IQ26" s="28"/>
      <c r="IR26" s="28"/>
      <c r="IS26" s="28"/>
      <c r="IT26" s="28"/>
      <c r="IU26" s="28"/>
      <c r="IV26" s="28"/>
      <c r="IW26" s="28"/>
      <c r="IX26" s="28"/>
      <c r="IY26" s="28"/>
      <c r="IZ26" s="28"/>
      <c r="JA26" s="28"/>
      <c r="JB26" s="28"/>
      <c r="JC26" s="28"/>
      <c r="JD26" s="28"/>
      <c r="JE26" s="28"/>
      <c r="JF26" s="28"/>
      <c r="JG26" s="28"/>
      <c r="JH26" s="28"/>
      <c r="JI26" s="28"/>
      <c r="JJ26" s="28"/>
      <c r="JK26" s="28"/>
      <c r="JL26" s="28"/>
      <c r="JM26" s="28"/>
      <c r="JN26" s="28"/>
      <c r="JO26" s="28"/>
      <c r="JP26" s="28"/>
      <c r="JQ26" s="28"/>
      <c r="JR26" s="28"/>
      <c r="JS26" s="28"/>
      <c r="JT26" s="28"/>
      <c r="JU26" s="28"/>
      <c r="JV26" s="28"/>
      <c r="JW26" s="28"/>
      <c r="JX26" s="28"/>
      <c r="JY26" s="28"/>
      <c r="JZ26" s="28"/>
      <c r="KA26" s="28"/>
      <c r="KB26" s="28"/>
      <c r="KC26" s="28"/>
      <c r="KD26" s="28"/>
      <c r="KE26" s="28"/>
      <c r="KF26" s="28"/>
      <c r="KG26" s="28"/>
      <c r="KH26" s="28"/>
      <c r="KI26" s="28"/>
      <c r="KJ26" s="28"/>
      <c r="KK26" s="28"/>
      <c r="KL26" s="28"/>
      <c r="KM26" s="28"/>
      <c r="KN26" s="28"/>
      <c r="KO26" s="28"/>
      <c r="KP26" s="28"/>
      <c r="KQ26" s="28"/>
      <c r="KR26" s="28"/>
      <c r="KS26" s="28"/>
      <c r="KT26" s="28"/>
      <c r="KU26" s="28"/>
      <c r="KV26" s="28"/>
      <c r="KW26" s="28"/>
      <c r="KX26" s="28"/>
      <c r="KY26" s="28"/>
      <c r="KZ26" s="28"/>
      <c r="LA26" s="28"/>
      <c r="LB26" s="28"/>
      <c r="LC26" s="28"/>
      <c r="LD26" s="28"/>
      <c r="LE26" s="28"/>
      <c r="LF26" s="28"/>
      <c r="LG26" s="28"/>
      <c r="LH26" s="28"/>
      <c r="LI26" s="28"/>
      <c r="LJ26" s="28"/>
      <c r="LK26" s="28"/>
      <c r="LL26" s="28"/>
      <c r="LM26" s="28"/>
      <c r="LN26" s="28"/>
      <c r="LO26" s="28"/>
      <c r="LP26" s="28"/>
      <c r="LQ26" s="28"/>
      <c r="LR26" s="28"/>
      <c r="LS26" s="28"/>
      <c r="LT26" s="28"/>
      <c r="LU26" s="28"/>
      <c r="LV26" s="28"/>
      <c r="LW26" s="28"/>
      <c r="LX26" s="28"/>
      <c r="LY26" s="28"/>
      <c r="LZ26" s="28"/>
      <c r="MA26" s="28"/>
      <c r="MB26" s="28"/>
      <c r="MC26" s="28"/>
      <c r="MD26" s="28"/>
      <c r="ME26" s="28"/>
      <c r="MF26" s="28"/>
      <c r="MG26" s="28"/>
      <c r="MH26" s="28"/>
      <c r="MI26" s="28"/>
      <c r="MJ26" s="28"/>
      <c r="MK26" s="28"/>
      <c r="ML26" s="28"/>
      <c r="MM26" s="28"/>
      <c r="MN26" s="28"/>
      <c r="MO26" s="28"/>
      <c r="MP26" s="28"/>
      <c r="MQ26" s="28"/>
      <c r="MR26" s="28"/>
      <c r="MS26" s="28"/>
      <c r="MT26" s="28"/>
      <c r="MU26" s="28"/>
      <c r="MV26" s="28"/>
      <c r="MW26" s="28"/>
      <c r="MX26" s="28"/>
      <c r="MY26" s="28"/>
      <c r="MZ26" s="28"/>
      <c r="NA26" s="28"/>
    </row>
    <row r="27" spans="1:365" s="3" customFormat="1" ht="30" customHeight="1" thickBot="1" x14ac:dyDescent="0.3">
      <c r="A27" s="41"/>
      <c r="B27" s="70" t="s">
        <v>41</v>
      </c>
      <c r="C27" s="66" t="s">
        <v>42</v>
      </c>
      <c r="D27" s="67">
        <v>1</v>
      </c>
      <c r="E27" s="68">
        <v>46175</v>
      </c>
      <c r="F27" s="68">
        <v>46190</v>
      </c>
      <c r="H27" s="17">
        <v>15</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c r="IF27" s="28"/>
      <c r="IG27" s="28"/>
      <c r="IH27" s="28"/>
      <c r="II27" s="28"/>
      <c r="IJ27" s="28"/>
      <c r="IK27" s="28"/>
      <c r="IL27" s="28"/>
      <c r="IM27" s="28"/>
      <c r="IN27" s="28"/>
      <c r="IO27" s="28"/>
      <c r="IP27" s="28"/>
      <c r="IQ27" s="28"/>
      <c r="IR27" s="28"/>
      <c r="IS27" s="28"/>
      <c r="IT27" s="28"/>
      <c r="IU27" s="28"/>
      <c r="IV27" s="28"/>
      <c r="IW27" s="28"/>
      <c r="IX27" s="28"/>
      <c r="IY27" s="28"/>
      <c r="IZ27" s="28"/>
      <c r="JA27" s="28"/>
      <c r="JB27" s="28"/>
      <c r="JC27" s="28"/>
      <c r="JD27" s="28"/>
      <c r="JE27" s="28"/>
      <c r="JF27" s="28"/>
      <c r="JG27" s="28"/>
      <c r="JH27" s="28"/>
      <c r="JI27" s="28"/>
      <c r="JJ27" s="28"/>
      <c r="JK27" s="28"/>
      <c r="JL27" s="28"/>
      <c r="JM27" s="28"/>
      <c r="JN27" s="28"/>
      <c r="JO27" s="28"/>
      <c r="JP27" s="28"/>
      <c r="JQ27" s="28"/>
      <c r="JR27" s="28"/>
      <c r="JS27" s="28"/>
      <c r="JT27" s="28"/>
      <c r="JU27" s="28"/>
      <c r="JV27" s="28"/>
      <c r="JW27" s="28"/>
      <c r="JX27" s="28"/>
      <c r="JY27" s="28"/>
      <c r="JZ27" s="28"/>
      <c r="KA27" s="28"/>
      <c r="KB27" s="28"/>
      <c r="KC27" s="28"/>
      <c r="KD27" s="28"/>
      <c r="KE27" s="28"/>
      <c r="KF27" s="28"/>
      <c r="KG27" s="28"/>
      <c r="KH27" s="28"/>
      <c r="KI27" s="28"/>
      <c r="KJ27" s="28"/>
      <c r="KK27" s="28"/>
      <c r="KL27" s="28"/>
      <c r="KM27" s="28"/>
      <c r="KN27" s="28"/>
      <c r="KO27" s="28"/>
      <c r="KP27" s="28"/>
      <c r="KQ27" s="28"/>
      <c r="KR27" s="28"/>
      <c r="KS27" s="28"/>
      <c r="KT27" s="28"/>
      <c r="KU27" s="28"/>
      <c r="KV27" s="28"/>
      <c r="KW27" s="28"/>
      <c r="KX27" s="28"/>
      <c r="KY27" s="28"/>
      <c r="KZ27" s="28"/>
      <c r="LA27" s="28"/>
      <c r="LB27" s="28"/>
      <c r="LC27" s="28"/>
      <c r="LD27" s="28"/>
      <c r="LE27" s="28"/>
      <c r="LF27" s="28"/>
      <c r="LG27" s="28"/>
      <c r="LH27" s="28"/>
      <c r="LI27" s="28"/>
      <c r="LJ27" s="28"/>
      <c r="LK27" s="28"/>
      <c r="LL27" s="28"/>
      <c r="LM27" s="28"/>
      <c r="LN27" s="28"/>
      <c r="LO27" s="28"/>
      <c r="LP27" s="28"/>
      <c r="LQ27" s="28"/>
      <c r="LR27" s="28"/>
      <c r="LS27" s="28"/>
      <c r="LT27" s="28"/>
      <c r="LU27" s="28"/>
      <c r="LV27" s="28"/>
      <c r="LW27" s="28"/>
      <c r="LX27" s="28"/>
      <c r="LY27" s="28"/>
      <c r="LZ27" s="28"/>
      <c r="MA27" s="28"/>
      <c r="MB27" s="28"/>
      <c r="MC27" s="28"/>
      <c r="MD27" s="28"/>
      <c r="ME27" s="28"/>
      <c r="MF27" s="28"/>
      <c r="MG27" s="28"/>
      <c r="MH27" s="28"/>
      <c r="MI27" s="28"/>
      <c r="MJ27" s="28"/>
      <c r="MK27" s="28"/>
      <c r="ML27" s="28"/>
      <c r="MM27" s="28"/>
      <c r="MN27" s="28"/>
      <c r="MO27" s="28"/>
      <c r="MP27" s="28"/>
      <c r="MQ27" s="28"/>
      <c r="MR27" s="28"/>
      <c r="MS27" s="28"/>
      <c r="MT27" s="28"/>
      <c r="MU27" s="28"/>
      <c r="MV27" s="28"/>
      <c r="MW27" s="28"/>
      <c r="MX27" s="28"/>
      <c r="MY27" s="28"/>
      <c r="MZ27" s="28"/>
      <c r="NA27" s="28"/>
    </row>
    <row r="28" spans="1:365" s="3" customFormat="1" ht="30" customHeight="1" x14ac:dyDescent="0.25">
      <c r="A28" s="41"/>
      <c r="B28" s="70" t="s">
        <v>43</v>
      </c>
      <c r="C28" s="66" t="s">
        <v>21</v>
      </c>
      <c r="D28" s="67">
        <v>1</v>
      </c>
      <c r="E28" s="68">
        <v>46175</v>
      </c>
      <c r="F28" s="68">
        <v>46189</v>
      </c>
      <c r="H28" s="17">
        <v>14</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c r="IF28" s="28"/>
      <c r="IG28" s="28"/>
      <c r="IH28" s="28"/>
      <c r="II28" s="28"/>
      <c r="IJ28" s="28"/>
      <c r="IK28" s="28"/>
      <c r="IL28" s="28"/>
      <c r="IM28" s="28"/>
      <c r="IN28" s="28"/>
      <c r="IO28" s="28"/>
      <c r="IP28" s="28"/>
      <c r="IQ28" s="28"/>
      <c r="IR28" s="28"/>
      <c r="IS28" s="28"/>
      <c r="IT28" s="28"/>
      <c r="IU28" s="28"/>
      <c r="IV28" s="28"/>
      <c r="IW28" s="28"/>
      <c r="IX28" s="28"/>
      <c r="IY28" s="28"/>
      <c r="IZ28" s="28"/>
      <c r="JA28" s="28"/>
      <c r="JB28" s="28"/>
      <c r="JC28" s="28"/>
      <c r="JD28" s="28"/>
      <c r="JE28" s="28"/>
      <c r="JF28" s="28"/>
      <c r="JG28" s="28"/>
      <c r="JH28" s="28"/>
      <c r="JI28" s="28"/>
      <c r="JJ28" s="28"/>
      <c r="JK28" s="28"/>
      <c r="JL28" s="28"/>
      <c r="JM28" s="28"/>
      <c r="JN28" s="28"/>
      <c r="JO28" s="28"/>
      <c r="JP28" s="28"/>
      <c r="JQ28" s="28"/>
      <c r="JR28" s="28"/>
      <c r="JS28" s="28"/>
      <c r="JT28" s="28"/>
      <c r="JU28" s="28"/>
      <c r="JV28" s="28"/>
      <c r="JW28" s="28"/>
      <c r="JX28" s="28"/>
      <c r="JY28" s="28"/>
      <c r="JZ28" s="28"/>
      <c r="KA28" s="28"/>
      <c r="KB28" s="28"/>
      <c r="KC28" s="28"/>
      <c r="KD28" s="28"/>
      <c r="KE28" s="28"/>
      <c r="KF28" s="28"/>
      <c r="KG28" s="28"/>
      <c r="KH28" s="28"/>
      <c r="KI28" s="28"/>
      <c r="KJ28" s="28"/>
      <c r="KK28" s="28"/>
      <c r="KL28" s="28"/>
      <c r="KM28" s="28"/>
      <c r="KN28" s="28"/>
      <c r="KO28" s="28"/>
      <c r="KP28" s="28"/>
      <c r="KQ28" s="28"/>
      <c r="KR28" s="28"/>
      <c r="KS28" s="28"/>
      <c r="KT28" s="28"/>
      <c r="KU28" s="28"/>
      <c r="KV28" s="28"/>
      <c r="KW28" s="28"/>
      <c r="KX28" s="28"/>
      <c r="KY28" s="28"/>
      <c r="KZ28" s="28"/>
      <c r="LA28" s="28"/>
      <c r="LB28" s="28"/>
      <c r="LC28" s="28"/>
      <c r="LD28" s="28"/>
      <c r="LE28" s="28"/>
      <c r="LF28" s="28"/>
      <c r="LG28" s="28"/>
      <c r="LH28" s="28"/>
      <c r="LI28" s="28"/>
      <c r="LJ28" s="28"/>
      <c r="LK28" s="28"/>
      <c r="LL28" s="28"/>
      <c r="LM28" s="28"/>
      <c r="LN28" s="28"/>
      <c r="LO28" s="28"/>
      <c r="LP28" s="28"/>
      <c r="LQ28" s="28"/>
      <c r="LR28" s="28"/>
      <c r="LS28" s="28"/>
      <c r="LT28" s="28"/>
      <c r="LU28" s="28"/>
      <c r="LV28" s="28"/>
      <c r="LW28" s="28"/>
      <c r="LX28" s="28"/>
      <c r="LY28" s="28"/>
      <c r="LZ28" s="28"/>
      <c r="MA28" s="28"/>
      <c r="MB28" s="28"/>
      <c r="MC28" s="28"/>
      <c r="MD28" s="28"/>
      <c r="ME28" s="28"/>
      <c r="MF28" s="28"/>
      <c r="MG28" s="28"/>
      <c r="MH28" s="28"/>
      <c r="MI28" s="28"/>
      <c r="MJ28" s="28"/>
      <c r="MK28" s="28"/>
      <c r="ML28" s="28"/>
      <c r="MM28" s="28"/>
      <c r="MN28" s="28"/>
      <c r="MO28" s="28"/>
      <c r="MP28" s="28"/>
      <c r="MQ28" s="28"/>
      <c r="MR28" s="28"/>
      <c r="MS28" s="28"/>
      <c r="MT28" s="28"/>
      <c r="MU28" s="28"/>
      <c r="MV28" s="28"/>
      <c r="MW28" s="28"/>
      <c r="MX28" s="28"/>
      <c r="MY28" s="28"/>
      <c r="MZ28" s="28"/>
      <c r="NA28" s="28"/>
    </row>
    <row r="29" spans="1:365" s="3" customFormat="1" ht="30" customHeight="1" thickBot="1" x14ac:dyDescent="0.3">
      <c r="A29" s="41"/>
      <c r="B29" s="69" t="s">
        <v>44</v>
      </c>
      <c r="C29" s="66" t="s">
        <v>21</v>
      </c>
      <c r="D29" s="67">
        <v>1</v>
      </c>
      <c r="E29" s="68">
        <f>F26</f>
        <v>46189</v>
      </c>
      <c r="F29" s="68">
        <f>E29+14</f>
        <v>46203</v>
      </c>
      <c r="G29" s="17"/>
      <c r="H29" s="17">
        <f>F29-E29</f>
        <v>14</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c r="IF29" s="28"/>
      <c r="IG29" s="28"/>
      <c r="IH29" s="28"/>
      <c r="II29" s="28"/>
      <c r="IJ29" s="28"/>
      <c r="IK29" s="28"/>
      <c r="IL29" s="28"/>
      <c r="IM29" s="28"/>
      <c r="IN29" s="28"/>
      <c r="IO29" s="28"/>
      <c r="IP29" s="28"/>
      <c r="IQ29" s="28"/>
      <c r="IR29" s="28"/>
      <c r="IS29" s="28"/>
      <c r="IT29" s="28"/>
      <c r="IU29" s="28"/>
      <c r="IV29" s="28"/>
      <c r="IW29" s="28"/>
      <c r="IX29" s="28"/>
      <c r="IY29" s="28"/>
      <c r="IZ29" s="28"/>
      <c r="JA29" s="28"/>
      <c r="JB29" s="28"/>
      <c r="JC29" s="28"/>
      <c r="JD29" s="28"/>
      <c r="JE29" s="28"/>
      <c r="JF29" s="28"/>
      <c r="JG29" s="28"/>
      <c r="JH29" s="28"/>
      <c r="JI29" s="28"/>
      <c r="JJ29" s="28"/>
      <c r="JK29" s="28"/>
      <c r="JL29" s="28"/>
      <c r="JM29" s="28"/>
      <c r="JN29" s="28"/>
      <c r="JO29" s="28"/>
      <c r="JP29" s="28"/>
      <c r="JQ29" s="28"/>
      <c r="JR29" s="28"/>
      <c r="JS29" s="28"/>
      <c r="JT29" s="28"/>
      <c r="JU29" s="28"/>
      <c r="JV29" s="28"/>
      <c r="JW29" s="28"/>
      <c r="JX29" s="28"/>
      <c r="JY29" s="28"/>
      <c r="JZ29" s="28"/>
      <c r="KA29" s="28"/>
      <c r="KB29" s="28"/>
      <c r="KC29" s="28"/>
      <c r="KD29" s="28"/>
      <c r="KE29" s="28"/>
      <c r="KF29" s="28"/>
      <c r="KG29" s="28"/>
      <c r="KH29" s="28"/>
      <c r="KI29" s="28"/>
      <c r="KJ29" s="28"/>
      <c r="KK29" s="28"/>
      <c r="KL29" s="28"/>
      <c r="KM29" s="28"/>
      <c r="KN29" s="28"/>
      <c r="KO29" s="28"/>
      <c r="KP29" s="28"/>
      <c r="KQ29" s="28"/>
      <c r="KR29" s="28"/>
      <c r="KS29" s="28"/>
      <c r="KT29" s="28"/>
      <c r="KU29" s="28"/>
      <c r="KV29" s="28"/>
      <c r="KW29" s="28"/>
      <c r="KX29" s="28"/>
      <c r="KY29" s="28"/>
      <c r="KZ29" s="28"/>
      <c r="LA29" s="28"/>
      <c r="LB29" s="28"/>
      <c r="LC29" s="28"/>
      <c r="LD29" s="28"/>
      <c r="LE29" s="28"/>
      <c r="LF29" s="28"/>
      <c r="LG29" s="28"/>
      <c r="LH29" s="28"/>
      <c r="LI29" s="28"/>
      <c r="LJ29" s="28"/>
      <c r="LK29" s="28"/>
      <c r="LL29" s="28"/>
      <c r="LM29" s="28"/>
      <c r="LN29" s="28"/>
      <c r="LO29" s="28"/>
      <c r="LP29" s="28"/>
      <c r="LQ29" s="28"/>
      <c r="LR29" s="28"/>
      <c r="LS29" s="28"/>
      <c r="LT29" s="28"/>
      <c r="LU29" s="28"/>
      <c r="LV29" s="28"/>
      <c r="LW29" s="28"/>
      <c r="LX29" s="28"/>
      <c r="LY29" s="28"/>
      <c r="LZ29" s="28"/>
      <c r="MA29" s="28"/>
      <c r="MB29" s="28"/>
      <c r="MC29" s="28"/>
      <c r="MD29" s="28"/>
      <c r="ME29" s="28"/>
      <c r="MF29" s="28"/>
      <c r="MG29" s="28"/>
      <c r="MH29" s="28"/>
      <c r="MI29" s="28"/>
      <c r="MJ29" s="28"/>
      <c r="MK29" s="28"/>
      <c r="ML29" s="28"/>
      <c r="MM29" s="28"/>
      <c r="MN29" s="28"/>
      <c r="MO29" s="28"/>
      <c r="MP29" s="28"/>
      <c r="MQ29" s="28"/>
      <c r="MR29" s="28"/>
      <c r="MS29" s="28"/>
      <c r="MT29" s="28"/>
      <c r="MU29" s="28"/>
      <c r="MV29" s="28"/>
      <c r="MW29" s="28"/>
      <c r="MX29" s="28"/>
      <c r="MY29" s="28"/>
      <c r="MZ29" s="28"/>
      <c r="NA29" s="28"/>
    </row>
    <row r="30" spans="1:365" s="3" customFormat="1" ht="30" customHeight="1" thickBot="1" x14ac:dyDescent="0.3">
      <c r="A30" s="41"/>
      <c r="B30" s="69" t="s">
        <v>45</v>
      </c>
      <c r="C30" s="66" t="s">
        <v>21</v>
      </c>
      <c r="D30" s="67">
        <v>1</v>
      </c>
      <c r="E30" s="68">
        <v>46189</v>
      </c>
      <c r="F30" s="68">
        <v>46211</v>
      </c>
      <c r="G30" s="17"/>
      <c r="H30" s="17">
        <v>22</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28"/>
      <c r="IW30" s="28"/>
      <c r="IX30" s="28"/>
      <c r="IY30" s="28"/>
      <c r="IZ30" s="28"/>
      <c r="JA30" s="28"/>
      <c r="JB30" s="28"/>
      <c r="JC30" s="28"/>
      <c r="JD30" s="28"/>
      <c r="JE30" s="28"/>
      <c r="JF30" s="28"/>
      <c r="JG30" s="28"/>
      <c r="JH30" s="28"/>
      <c r="JI30" s="28"/>
      <c r="JJ30" s="28"/>
      <c r="JK30" s="28"/>
      <c r="JL30" s="28"/>
      <c r="JM30" s="28"/>
      <c r="JN30" s="28"/>
      <c r="JO30" s="28"/>
      <c r="JP30" s="28"/>
      <c r="JQ30" s="28"/>
      <c r="JR30" s="28"/>
      <c r="JS30" s="28"/>
      <c r="JT30" s="28"/>
      <c r="JU30" s="28"/>
      <c r="JV30" s="28"/>
      <c r="JW30" s="28"/>
      <c r="JX30" s="28"/>
      <c r="JY30" s="28"/>
      <c r="JZ30" s="28"/>
      <c r="KA30" s="28"/>
      <c r="KB30" s="28"/>
      <c r="KC30" s="28"/>
      <c r="KD30" s="28"/>
      <c r="KE30" s="28"/>
      <c r="KF30" s="28"/>
      <c r="KG30" s="28"/>
      <c r="KH30" s="28"/>
      <c r="KI30" s="28"/>
      <c r="KJ30" s="28"/>
      <c r="KK30" s="28"/>
      <c r="KL30" s="28"/>
      <c r="KM30" s="28"/>
      <c r="KN30" s="28"/>
      <c r="KO30" s="28"/>
      <c r="KP30" s="28"/>
      <c r="KQ30" s="28"/>
      <c r="KR30" s="28"/>
      <c r="KS30" s="28"/>
      <c r="KT30" s="28"/>
      <c r="KU30" s="28"/>
      <c r="KV30" s="28"/>
      <c r="KW30" s="28"/>
      <c r="KX30" s="28"/>
      <c r="KY30" s="28"/>
      <c r="KZ30" s="28"/>
      <c r="LA30" s="28"/>
      <c r="LB30" s="28"/>
      <c r="LC30" s="28"/>
      <c r="LD30" s="28"/>
      <c r="LE30" s="28"/>
      <c r="LF30" s="28"/>
      <c r="LG30" s="28"/>
      <c r="LH30" s="28"/>
      <c r="LI30" s="28"/>
      <c r="LJ30" s="28"/>
      <c r="LK30" s="28"/>
      <c r="LL30" s="28"/>
      <c r="LM30" s="28"/>
      <c r="LN30" s="28"/>
      <c r="LO30" s="28"/>
      <c r="LP30" s="28"/>
      <c r="LQ30" s="28"/>
      <c r="LR30" s="28"/>
      <c r="LS30" s="28"/>
      <c r="LT30" s="28"/>
      <c r="LU30" s="28"/>
      <c r="LV30" s="28"/>
      <c r="LW30" s="28"/>
      <c r="LX30" s="28"/>
      <c r="LY30" s="28"/>
      <c r="LZ30" s="28"/>
      <c r="MA30" s="28"/>
      <c r="MB30" s="28"/>
      <c r="MC30" s="28"/>
      <c r="MD30" s="28"/>
      <c r="ME30" s="28"/>
      <c r="MF30" s="28"/>
      <c r="MG30" s="28"/>
      <c r="MH30" s="28"/>
      <c r="MI30" s="28"/>
      <c r="MJ30" s="28"/>
      <c r="MK30" s="28"/>
      <c r="ML30" s="28"/>
      <c r="MM30" s="28"/>
      <c r="MN30" s="28"/>
      <c r="MO30" s="28"/>
      <c r="MP30" s="28"/>
      <c r="MQ30" s="28"/>
      <c r="MR30" s="28"/>
      <c r="MS30" s="28"/>
      <c r="MT30" s="28"/>
      <c r="MU30" s="28"/>
      <c r="MV30" s="28"/>
      <c r="MW30" s="28"/>
      <c r="MX30" s="28"/>
      <c r="MY30" s="28"/>
      <c r="MZ30" s="28"/>
      <c r="NA30" s="28"/>
    </row>
    <row r="31" spans="1:365" s="3" customFormat="1" ht="30" customHeight="1" thickBot="1" x14ac:dyDescent="0.3">
      <c r="A31" s="41"/>
      <c r="B31" s="69" t="s">
        <v>46</v>
      </c>
      <c r="C31" s="66" t="s">
        <v>24</v>
      </c>
      <c r="D31" s="67">
        <v>0.5</v>
      </c>
      <c r="E31" s="68">
        <v>46197</v>
      </c>
      <c r="F31" s="68">
        <v>46213</v>
      </c>
      <c r="G31" s="17"/>
      <c r="H31" s="17">
        <v>16</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c r="HV31" s="28"/>
      <c r="HW31" s="28"/>
      <c r="HX31" s="28"/>
      <c r="HY31" s="28"/>
      <c r="HZ31" s="28"/>
      <c r="IA31" s="28"/>
      <c r="IB31" s="28"/>
      <c r="IC31" s="28"/>
      <c r="ID31" s="28"/>
      <c r="IE31" s="28"/>
      <c r="IF31" s="28"/>
      <c r="IG31" s="28"/>
      <c r="IH31" s="28"/>
      <c r="II31" s="28"/>
      <c r="IJ31" s="28"/>
      <c r="IK31" s="28"/>
      <c r="IL31" s="28"/>
      <c r="IM31" s="28"/>
      <c r="IN31" s="28"/>
      <c r="IO31" s="28"/>
      <c r="IP31" s="28"/>
      <c r="IQ31" s="28"/>
      <c r="IR31" s="28"/>
      <c r="IS31" s="28"/>
      <c r="IT31" s="28"/>
      <c r="IU31" s="28"/>
      <c r="IV31" s="28"/>
      <c r="IW31" s="28"/>
      <c r="IX31" s="28"/>
      <c r="IY31" s="28"/>
      <c r="IZ31" s="28"/>
      <c r="JA31" s="28"/>
      <c r="JB31" s="28"/>
      <c r="JC31" s="28"/>
      <c r="JD31" s="28"/>
      <c r="JE31" s="28"/>
      <c r="JF31" s="28"/>
      <c r="JG31" s="28"/>
      <c r="JH31" s="28"/>
      <c r="JI31" s="28"/>
      <c r="JJ31" s="28"/>
      <c r="JK31" s="28"/>
      <c r="JL31" s="28"/>
      <c r="JM31" s="28"/>
      <c r="JN31" s="28"/>
      <c r="JO31" s="28"/>
      <c r="JP31" s="28"/>
      <c r="JQ31" s="28"/>
      <c r="JR31" s="28"/>
      <c r="JS31" s="28"/>
      <c r="JT31" s="28"/>
      <c r="JU31" s="28"/>
      <c r="JV31" s="28"/>
      <c r="JW31" s="28"/>
      <c r="JX31" s="28"/>
      <c r="JY31" s="28"/>
      <c r="JZ31" s="28"/>
      <c r="KA31" s="28"/>
      <c r="KB31" s="28"/>
      <c r="KC31" s="28"/>
      <c r="KD31" s="28"/>
      <c r="KE31" s="28"/>
      <c r="KF31" s="28"/>
      <c r="KG31" s="28"/>
      <c r="KH31" s="28"/>
      <c r="KI31" s="28"/>
      <c r="KJ31" s="28"/>
      <c r="KK31" s="28"/>
      <c r="KL31" s="28"/>
      <c r="KM31" s="28"/>
      <c r="KN31" s="28"/>
      <c r="KO31" s="28"/>
      <c r="KP31" s="28"/>
      <c r="KQ31" s="28"/>
      <c r="KR31" s="28"/>
      <c r="KS31" s="28"/>
      <c r="KT31" s="28"/>
      <c r="KU31" s="28"/>
      <c r="KV31" s="28"/>
      <c r="KW31" s="28"/>
      <c r="KX31" s="28"/>
      <c r="KY31" s="28"/>
      <c r="KZ31" s="28"/>
      <c r="LA31" s="28"/>
      <c r="LB31" s="28"/>
      <c r="LC31" s="28"/>
      <c r="LD31" s="28"/>
      <c r="LE31" s="28"/>
      <c r="LF31" s="28"/>
      <c r="LG31" s="28"/>
      <c r="LH31" s="28"/>
      <c r="LI31" s="28"/>
      <c r="LJ31" s="28"/>
      <c r="LK31" s="28"/>
      <c r="LL31" s="28"/>
      <c r="LM31" s="28"/>
      <c r="LN31" s="28"/>
      <c r="LO31" s="28"/>
      <c r="LP31" s="28"/>
      <c r="LQ31" s="28"/>
      <c r="LR31" s="28"/>
      <c r="LS31" s="28"/>
      <c r="LT31" s="28"/>
      <c r="LU31" s="28"/>
      <c r="LV31" s="28"/>
      <c r="LW31" s="28"/>
      <c r="LX31" s="28"/>
      <c r="LY31" s="28"/>
      <c r="LZ31" s="28"/>
      <c r="MA31" s="28"/>
      <c r="MB31" s="28"/>
      <c r="MC31" s="28"/>
      <c r="MD31" s="28"/>
      <c r="ME31" s="28"/>
      <c r="MF31" s="28"/>
      <c r="MG31" s="28"/>
      <c r="MH31" s="28"/>
      <c r="MI31" s="28"/>
      <c r="MJ31" s="28"/>
      <c r="MK31" s="28"/>
      <c r="ML31" s="28"/>
      <c r="MM31" s="28"/>
      <c r="MN31" s="28"/>
      <c r="MO31" s="28"/>
      <c r="MP31" s="28"/>
      <c r="MQ31" s="28"/>
      <c r="MR31" s="28"/>
      <c r="MS31" s="28"/>
      <c r="MT31" s="28"/>
      <c r="MU31" s="28"/>
      <c r="MV31" s="28"/>
      <c r="MW31" s="28"/>
      <c r="MX31" s="28"/>
      <c r="MY31" s="28"/>
      <c r="MZ31" s="28"/>
      <c r="NA31" s="28"/>
    </row>
    <row r="32" spans="1:365" s="3" customFormat="1" ht="30" customHeight="1" thickBot="1" x14ac:dyDescent="0.3">
      <c r="A32" s="41"/>
      <c r="B32" s="69" t="s">
        <v>47</v>
      </c>
      <c r="C32" s="66" t="s">
        <v>21</v>
      </c>
      <c r="D32" s="67">
        <v>0</v>
      </c>
      <c r="E32" s="68">
        <f>F29</f>
        <v>46203</v>
      </c>
      <c r="F32" s="68">
        <f>E32+14</f>
        <v>46217</v>
      </c>
      <c r="G32" s="17"/>
      <c r="H32" s="17">
        <v>14</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c r="HV32" s="28"/>
      <c r="HW32" s="28"/>
      <c r="HX32" s="28"/>
      <c r="HY32" s="28"/>
      <c r="HZ32" s="28"/>
      <c r="IA32" s="28"/>
      <c r="IB32" s="28"/>
      <c r="IC32" s="28"/>
      <c r="ID32" s="28"/>
      <c r="IE32" s="28"/>
      <c r="IF32" s="28"/>
      <c r="IG32" s="28"/>
      <c r="IH32" s="28"/>
      <c r="II32" s="28"/>
      <c r="IJ32" s="28"/>
      <c r="IK32" s="28"/>
      <c r="IL32" s="28"/>
      <c r="IM32" s="28"/>
      <c r="IN32" s="28"/>
      <c r="IO32" s="28"/>
      <c r="IP32" s="28"/>
      <c r="IQ32" s="28"/>
      <c r="IR32" s="28"/>
      <c r="IS32" s="28"/>
      <c r="IT32" s="28"/>
      <c r="IU32" s="28"/>
      <c r="IV32" s="28"/>
      <c r="IW32" s="28"/>
      <c r="IX32" s="28"/>
      <c r="IY32" s="28"/>
      <c r="IZ32" s="28"/>
      <c r="JA32" s="28"/>
      <c r="JB32" s="28"/>
      <c r="JC32" s="28"/>
      <c r="JD32" s="28"/>
      <c r="JE32" s="28"/>
      <c r="JF32" s="28"/>
      <c r="JG32" s="28"/>
      <c r="JH32" s="28"/>
      <c r="JI32" s="28"/>
      <c r="JJ32" s="28"/>
      <c r="JK32" s="28"/>
      <c r="JL32" s="28"/>
      <c r="JM32" s="28"/>
      <c r="JN32" s="28"/>
      <c r="JO32" s="28"/>
      <c r="JP32" s="28"/>
      <c r="JQ32" s="28"/>
      <c r="JR32" s="28"/>
      <c r="JS32" s="28"/>
      <c r="JT32" s="28"/>
      <c r="JU32" s="28"/>
      <c r="JV32" s="28"/>
      <c r="JW32" s="28"/>
      <c r="JX32" s="28"/>
      <c r="JY32" s="28"/>
      <c r="JZ32" s="28"/>
      <c r="KA32" s="28"/>
      <c r="KB32" s="28"/>
      <c r="KC32" s="28"/>
      <c r="KD32" s="28"/>
      <c r="KE32" s="28"/>
      <c r="KF32" s="28"/>
      <c r="KG32" s="28"/>
      <c r="KH32" s="28"/>
      <c r="KI32" s="28"/>
      <c r="KJ32" s="28"/>
      <c r="KK32" s="28"/>
      <c r="KL32" s="28"/>
      <c r="KM32" s="28"/>
      <c r="KN32" s="28"/>
      <c r="KO32" s="28"/>
      <c r="KP32" s="28"/>
      <c r="KQ32" s="28"/>
      <c r="KR32" s="28"/>
      <c r="KS32" s="28"/>
      <c r="KT32" s="28"/>
      <c r="KU32" s="28"/>
      <c r="KV32" s="28"/>
      <c r="KW32" s="28"/>
      <c r="KX32" s="28"/>
      <c r="KY32" s="28"/>
      <c r="KZ32" s="28"/>
      <c r="LA32" s="28"/>
      <c r="LB32" s="28"/>
      <c r="LC32" s="28"/>
      <c r="LD32" s="28"/>
      <c r="LE32" s="28"/>
      <c r="LF32" s="28"/>
      <c r="LG32" s="28"/>
      <c r="LH32" s="28"/>
      <c r="LI32" s="28"/>
      <c r="LJ32" s="28"/>
      <c r="LK32" s="28"/>
      <c r="LL32" s="28"/>
      <c r="LM32" s="28"/>
      <c r="LN32" s="28"/>
      <c r="LO32" s="28"/>
      <c r="LP32" s="28"/>
      <c r="LQ32" s="28"/>
      <c r="LR32" s="28"/>
      <c r="LS32" s="28"/>
      <c r="LT32" s="28"/>
      <c r="LU32" s="28"/>
      <c r="LV32" s="28"/>
      <c r="LW32" s="28"/>
      <c r="LX32" s="28"/>
      <c r="LY32" s="28"/>
      <c r="LZ32" s="28"/>
      <c r="MA32" s="28"/>
      <c r="MB32" s="28"/>
      <c r="MC32" s="28"/>
      <c r="MD32" s="28"/>
      <c r="ME32" s="28"/>
      <c r="MF32" s="28"/>
      <c r="MG32" s="28"/>
      <c r="MH32" s="28"/>
      <c r="MI32" s="28"/>
      <c r="MJ32" s="28"/>
      <c r="MK32" s="28"/>
      <c r="ML32" s="28"/>
      <c r="MM32" s="28"/>
      <c r="MN32" s="28"/>
      <c r="MO32" s="28"/>
      <c r="MP32" s="28"/>
      <c r="MQ32" s="28"/>
      <c r="MR32" s="28"/>
      <c r="MS32" s="28"/>
      <c r="MT32" s="28"/>
      <c r="MU32" s="28"/>
      <c r="MV32" s="28"/>
      <c r="MW32" s="28"/>
      <c r="MX32" s="28"/>
      <c r="MY32" s="28"/>
      <c r="MZ32" s="28"/>
      <c r="NA32" s="28"/>
    </row>
    <row r="33" spans="1:365" s="3" customFormat="1" ht="30" customHeight="1" thickBot="1" x14ac:dyDescent="0.3">
      <c r="A33" s="41"/>
      <c r="B33" s="69" t="s">
        <v>48</v>
      </c>
      <c r="C33" s="66" t="s">
        <v>21</v>
      </c>
      <c r="D33" s="67">
        <v>0.2</v>
      </c>
      <c r="E33" s="68">
        <v>46205</v>
      </c>
      <c r="F33" s="68">
        <v>46217</v>
      </c>
      <c r="G33" s="17"/>
      <c r="H33" s="17">
        <v>12</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c r="IV33" s="28"/>
      <c r="IW33" s="28"/>
      <c r="IX33" s="28"/>
      <c r="IY33" s="28"/>
      <c r="IZ33" s="28"/>
      <c r="JA33" s="28"/>
      <c r="JB33" s="28"/>
      <c r="JC33" s="28"/>
      <c r="JD33" s="28"/>
      <c r="JE33" s="28"/>
      <c r="JF33" s="28"/>
      <c r="JG33" s="28"/>
      <c r="JH33" s="28"/>
      <c r="JI33" s="28"/>
      <c r="JJ33" s="28"/>
      <c r="JK33" s="28"/>
      <c r="JL33" s="28"/>
      <c r="JM33" s="28"/>
      <c r="JN33" s="28"/>
      <c r="JO33" s="28"/>
      <c r="JP33" s="28"/>
      <c r="JQ33" s="28"/>
      <c r="JR33" s="28"/>
      <c r="JS33" s="28"/>
      <c r="JT33" s="28"/>
      <c r="JU33" s="28"/>
      <c r="JV33" s="28"/>
      <c r="JW33" s="28"/>
      <c r="JX33" s="28"/>
      <c r="JY33" s="28"/>
      <c r="JZ33" s="28"/>
      <c r="KA33" s="28"/>
      <c r="KB33" s="28"/>
      <c r="KC33" s="28"/>
      <c r="KD33" s="28"/>
      <c r="KE33" s="28"/>
      <c r="KF33" s="28"/>
      <c r="KG33" s="28"/>
      <c r="KH33" s="28"/>
      <c r="KI33" s="28"/>
      <c r="KJ33" s="28"/>
      <c r="KK33" s="28"/>
      <c r="KL33" s="28"/>
      <c r="KM33" s="28"/>
      <c r="KN33" s="28"/>
      <c r="KO33" s="28"/>
      <c r="KP33" s="28"/>
      <c r="KQ33" s="28"/>
      <c r="KR33" s="28"/>
      <c r="KS33" s="28"/>
      <c r="KT33" s="28"/>
      <c r="KU33" s="28"/>
      <c r="KV33" s="28"/>
      <c r="KW33" s="28"/>
      <c r="KX33" s="28"/>
      <c r="KY33" s="28"/>
      <c r="KZ33" s="28"/>
      <c r="LA33" s="28"/>
      <c r="LB33" s="28"/>
      <c r="LC33" s="28"/>
      <c r="LD33" s="28"/>
      <c r="LE33" s="28"/>
      <c r="LF33" s="28"/>
      <c r="LG33" s="28"/>
      <c r="LH33" s="28"/>
      <c r="LI33" s="28"/>
      <c r="LJ33" s="28"/>
      <c r="LK33" s="28"/>
      <c r="LL33" s="28"/>
      <c r="LM33" s="28"/>
      <c r="LN33" s="28"/>
      <c r="LO33" s="28"/>
      <c r="LP33" s="28"/>
      <c r="LQ33" s="28"/>
      <c r="LR33" s="28"/>
      <c r="LS33" s="28"/>
      <c r="LT33" s="28"/>
      <c r="LU33" s="28"/>
      <c r="LV33" s="28"/>
      <c r="LW33" s="28"/>
      <c r="LX33" s="28"/>
      <c r="LY33" s="28"/>
      <c r="LZ33" s="28"/>
      <c r="MA33" s="28"/>
      <c r="MB33" s="28"/>
      <c r="MC33" s="28"/>
      <c r="MD33" s="28"/>
      <c r="ME33" s="28"/>
      <c r="MF33" s="28"/>
      <c r="MG33" s="28"/>
      <c r="MH33" s="28"/>
      <c r="MI33" s="28"/>
      <c r="MJ33" s="28"/>
      <c r="MK33" s="28"/>
      <c r="ML33" s="28"/>
      <c r="MM33" s="28"/>
      <c r="MN33" s="28"/>
      <c r="MO33" s="28"/>
      <c r="MP33" s="28"/>
      <c r="MQ33" s="28"/>
      <c r="MR33" s="28"/>
      <c r="MS33" s="28"/>
      <c r="MT33" s="28"/>
      <c r="MU33" s="28"/>
      <c r="MV33" s="28"/>
      <c r="MW33" s="28"/>
      <c r="MX33" s="28"/>
      <c r="MY33" s="28"/>
      <c r="MZ33" s="28"/>
      <c r="NA33" s="28"/>
    </row>
    <row r="34" spans="1:365" s="3" customFormat="1" ht="30" customHeight="1" x14ac:dyDescent="0.25">
      <c r="A34" s="41"/>
      <c r="B34" s="69" t="s">
        <v>49</v>
      </c>
      <c r="C34" s="66" t="s">
        <v>24</v>
      </c>
      <c r="D34" s="67">
        <v>0</v>
      </c>
      <c r="E34" s="68">
        <f>F32</f>
        <v>46217</v>
      </c>
      <c r="F34" s="68">
        <f>E34+12</f>
        <v>46229</v>
      </c>
      <c r="G34" s="17"/>
      <c r="H34" s="17">
        <v>12</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c r="HL34" s="28"/>
      <c r="HM34" s="28"/>
      <c r="HN34" s="28"/>
      <c r="HO34" s="28"/>
      <c r="HP34" s="28"/>
      <c r="HQ34" s="28"/>
      <c r="HR34" s="28"/>
      <c r="HS34" s="28"/>
      <c r="HT34" s="28"/>
      <c r="HU34" s="28"/>
      <c r="HV34" s="28"/>
      <c r="HW34" s="28"/>
      <c r="HX34" s="28"/>
      <c r="HY34" s="28"/>
      <c r="HZ34" s="28"/>
      <c r="IA34" s="28"/>
      <c r="IB34" s="28"/>
      <c r="IC34" s="28"/>
      <c r="ID34" s="28"/>
      <c r="IE34" s="28"/>
      <c r="IF34" s="28"/>
      <c r="IG34" s="28"/>
      <c r="IH34" s="28"/>
      <c r="II34" s="28"/>
      <c r="IJ34" s="28"/>
      <c r="IK34" s="28"/>
      <c r="IL34" s="28"/>
      <c r="IM34" s="28"/>
      <c r="IN34" s="28"/>
      <c r="IO34" s="28"/>
      <c r="IP34" s="28"/>
      <c r="IQ34" s="28"/>
      <c r="IR34" s="28"/>
      <c r="IS34" s="28"/>
      <c r="IT34" s="28"/>
      <c r="IU34" s="28"/>
      <c r="IV34" s="28"/>
      <c r="IW34" s="28"/>
      <c r="IX34" s="28"/>
      <c r="IY34" s="28"/>
      <c r="IZ34" s="28"/>
      <c r="JA34" s="28"/>
      <c r="JB34" s="28"/>
      <c r="JC34" s="28"/>
      <c r="JD34" s="28"/>
      <c r="JE34" s="28"/>
      <c r="JF34" s="28"/>
      <c r="JG34" s="28"/>
      <c r="JH34" s="28"/>
      <c r="JI34" s="28"/>
      <c r="JJ34" s="28"/>
      <c r="JK34" s="28"/>
      <c r="JL34" s="28"/>
      <c r="JM34" s="28"/>
      <c r="JN34" s="28"/>
      <c r="JO34" s="28"/>
      <c r="JP34" s="28"/>
      <c r="JQ34" s="28"/>
      <c r="JR34" s="28"/>
      <c r="JS34" s="28"/>
      <c r="JT34" s="28"/>
      <c r="JU34" s="28"/>
      <c r="JV34" s="28"/>
      <c r="JW34" s="28"/>
      <c r="JX34" s="28"/>
      <c r="JY34" s="28"/>
      <c r="JZ34" s="28"/>
      <c r="KA34" s="28"/>
      <c r="KB34" s="28"/>
      <c r="KC34" s="28"/>
      <c r="KD34" s="28"/>
      <c r="KE34" s="28"/>
      <c r="KF34" s="28"/>
      <c r="KG34" s="28"/>
      <c r="KH34" s="28"/>
      <c r="KI34" s="28"/>
      <c r="KJ34" s="28"/>
      <c r="KK34" s="28"/>
      <c r="KL34" s="28"/>
      <c r="KM34" s="28"/>
      <c r="KN34" s="28"/>
      <c r="KO34" s="28"/>
      <c r="KP34" s="28"/>
      <c r="KQ34" s="28"/>
      <c r="KR34" s="28"/>
      <c r="KS34" s="28"/>
      <c r="KT34" s="28"/>
      <c r="KU34" s="28"/>
      <c r="KV34" s="28"/>
      <c r="KW34" s="28"/>
      <c r="KX34" s="28"/>
      <c r="KY34" s="28"/>
      <c r="KZ34" s="28"/>
      <c r="LA34" s="28"/>
      <c r="LB34" s="28"/>
      <c r="LC34" s="28"/>
      <c r="LD34" s="28"/>
      <c r="LE34" s="28"/>
      <c r="LF34" s="28"/>
      <c r="LG34" s="28"/>
      <c r="LH34" s="28"/>
      <c r="LI34" s="28"/>
      <c r="LJ34" s="28"/>
      <c r="LK34" s="28"/>
      <c r="LL34" s="28"/>
      <c r="LM34" s="28"/>
      <c r="LN34" s="28"/>
      <c r="LO34" s="28"/>
      <c r="LP34" s="28"/>
      <c r="LQ34" s="28"/>
      <c r="LR34" s="28"/>
      <c r="LS34" s="28"/>
      <c r="LT34" s="28"/>
      <c r="LU34" s="28"/>
      <c r="LV34" s="28"/>
      <c r="LW34" s="28"/>
      <c r="LX34" s="28"/>
      <c r="LY34" s="28"/>
      <c r="LZ34" s="28"/>
      <c r="MA34" s="28"/>
      <c r="MB34" s="28"/>
      <c r="MC34" s="28"/>
      <c r="MD34" s="28"/>
      <c r="ME34" s="28"/>
      <c r="MF34" s="28"/>
      <c r="MG34" s="28"/>
      <c r="MH34" s="28"/>
      <c r="MI34" s="28"/>
      <c r="MJ34" s="28"/>
      <c r="MK34" s="28"/>
      <c r="ML34" s="28"/>
      <c r="MM34" s="28"/>
      <c r="MN34" s="28"/>
      <c r="MO34" s="28"/>
      <c r="MP34" s="28"/>
      <c r="MQ34" s="28"/>
      <c r="MR34" s="28"/>
      <c r="MS34" s="28"/>
      <c r="MT34" s="28"/>
      <c r="MU34" s="28"/>
      <c r="MV34" s="28"/>
      <c r="MW34" s="28"/>
      <c r="MX34" s="28"/>
      <c r="MY34" s="28"/>
      <c r="MZ34" s="28"/>
      <c r="NA34" s="28"/>
    </row>
    <row r="35" spans="1:365" s="3" customFormat="1" ht="30" customHeight="1" x14ac:dyDescent="0.25">
      <c r="A35" s="41"/>
      <c r="B35" s="69" t="s">
        <v>50</v>
      </c>
      <c r="C35" s="66" t="s">
        <v>25</v>
      </c>
      <c r="D35" s="67">
        <v>0</v>
      </c>
      <c r="E35" s="68">
        <v>46223</v>
      </c>
      <c r="F35" s="68">
        <f>E35+12</f>
        <v>46235</v>
      </c>
      <c r="G35" s="17"/>
      <c r="H35" s="17">
        <v>12</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c r="HL35" s="28"/>
      <c r="HM35" s="28"/>
      <c r="HN35" s="28"/>
      <c r="HO35" s="28"/>
      <c r="HP35" s="28"/>
      <c r="HQ35" s="28"/>
      <c r="HR35" s="28"/>
      <c r="HS35" s="28"/>
      <c r="HT35" s="28"/>
      <c r="HU35" s="28"/>
      <c r="HV35" s="28"/>
      <c r="HW35" s="28"/>
      <c r="HX35" s="28"/>
      <c r="HY35" s="28"/>
      <c r="HZ35" s="28"/>
      <c r="IA35" s="28"/>
      <c r="IB35" s="28"/>
      <c r="IC35" s="28"/>
      <c r="ID35" s="28"/>
      <c r="IE35" s="28"/>
      <c r="IF35" s="28"/>
      <c r="IG35" s="28"/>
      <c r="IH35" s="28"/>
      <c r="II35" s="28"/>
      <c r="IJ35" s="28"/>
      <c r="IK35" s="28"/>
      <c r="IL35" s="28"/>
      <c r="IM35" s="28"/>
      <c r="IN35" s="28"/>
      <c r="IO35" s="28"/>
      <c r="IP35" s="28"/>
      <c r="IQ35" s="28"/>
      <c r="IR35" s="28"/>
      <c r="IS35" s="28"/>
      <c r="IT35" s="28"/>
      <c r="IU35" s="28"/>
      <c r="IV35" s="28"/>
      <c r="IW35" s="28"/>
      <c r="IX35" s="28"/>
      <c r="IY35" s="28"/>
      <c r="IZ35" s="28"/>
      <c r="JA35" s="28"/>
      <c r="JB35" s="28"/>
      <c r="JC35" s="28"/>
      <c r="JD35" s="28"/>
      <c r="JE35" s="28"/>
      <c r="JF35" s="28"/>
      <c r="JG35" s="28"/>
      <c r="JH35" s="28"/>
      <c r="JI35" s="28"/>
      <c r="JJ35" s="28"/>
      <c r="JK35" s="28"/>
      <c r="JL35" s="28"/>
      <c r="JM35" s="28"/>
      <c r="JN35" s="28"/>
      <c r="JO35" s="28"/>
      <c r="JP35" s="28"/>
      <c r="JQ35" s="28"/>
      <c r="JR35" s="28"/>
      <c r="JS35" s="28"/>
      <c r="JT35" s="28"/>
      <c r="JU35" s="28"/>
      <c r="JV35" s="28"/>
      <c r="JW35" s="28"/>
      <c r="JX35" s="28"/>
      <c r="JY35" s="28"/>
      <c r="JZ35" s="28"/>
      <c r="KA35" s="28"/>
      <c r="KB35" s="28"/>
      <c r="KC35" s="28"/>
      <c r="KD35" s="28"/>
      <c r="KE35" s="28"/>
      <c r="KF35" s="28"/>
      <c r="KG35" s="28"/>
      <c r="KH35" s="28"/>
      <c r="KI35" s="28"/>
      <c r="KJ35" s="28"/>
      <c r="KK35" s="28"/>
      <c r="KL35" s="28"/>
      <c r="KM35" s="28"/>
      <c r="KN35" s="28"/>
      <c r="KO35" s="28"/>
      <c r="KP35" s="28"/>
      <c r="KQ35" s="28"/>
      <c r="KR35" s="28"/>
      <c r="KS35" s="28"/>
      <c r="KT35" s="28"/>
      <c r="KU35" s="28"/>
      <c r="KV35" s="28"/>
      <c r="KW35" s="28"/>
      <c r="KX35" s="28"/>
      <c r="KY35" s="28"/>
      <c r="KZ35" s="28"/>
      <c r="LA35" s="28"/>
      <c r="LB35" s="28"/>
      <c r="LC35" s="28"/>
      <c r="LD35" s="28"/>
      <c r="LE35" s="28"/>
      <c r="LF35" s="28"/>
      <c r="LG35" s="28"/>
      <c r="LH35" s="28"/>
      <c r="LI35" s="28"/>
      <c r="LJ35" s="28"/>
      <c r="LK35" s="28"/>
      <c r="LL35" s="28"/>
      <c r="LM35" s="28"/>
      <c r="LN35" s="28"/>
      <c r="LO35" s="28"/>
      <c r="LP35" s="28"/>
      <c r="LQ35" s="28"/>
      <c r="LR35" s="28"/>
      <c r="LS35" s="28"/>
      <c r="LT35" s="28"/>
      <c r="LU35" s="28"/>
      <c r="LV35" s="28"/>
      <c r="LW35" s="28"/>
      <c r="LX35" s="28"/>
      <c r="LY35" s="28"/>
      <c r="LZ35" s="28"/>
      <c r="MA35" s="28"/>
      <c r="MB35" s="28"/>
      <c r="MC35" s="28"/>
      <c r="MD35" s="28"/>
      <c r="ME35" s="28"/>
      <c r="MF35" s="28"/>
      <c r="MG35" s="28"/>
      <c r="MH35" s="28"/>
      <c r="MI35" s="28"/>
      <c r="MJ35" s="28"/>
      <c r="MK35" s="28"/>
      <c r="ML35" s="28"/>
      <c r="MM35" s="28"/>
      <c r="MN35" s="28"/>
      <c r="MO35" s="28"/>
      <c r="MP35" s="28"/>
      <c r="MQ35" s="28"/>
      <c r="MR35" s="28"/>
      <c r="MS35" s="28"/>
      <c r="MT35" s="28"/>
      <c r="MU35" s="28"/>
      <c r="MV35" s="28"/>
      <c r="MW35" s="28"/>
      <c r="MX35" s="28"/>
      <c r="MY35" s="28"/>
      <c r="MZ35" s="28"/>
      <c r="NA35" s="28"/>
    </row>
    <row r="36" spans="1:365" s="3" customFormat="1" ht="30" customHeight="1" thickBot="1" x14ac:dyDescent="0.3">
      <c r="A36" s="41"/>
      <c r="B36" s="69" t="s">
        <v>51</v>
      </c>
      <c r="C36" s="66" t="s">
        <v>21</v>
      </c>
      <c r="D36" s="67">
        <v>0</v>
      </c>
      <c r="E36" s="68">
        <f>F34</f>
        <v>46229</v>
      </c>
      <c r="F36" s="68">
        <v>46235</v>
      </c>
      <c r="G36" s="17"/>
      <c r="H36" s="17">
        <v>20</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c r="HL36" s="28"/>
      <c r="HM36" s="28"/>
      <c r="HN36" s="28"/>
      <c r="HO36" s="28"/>
      <c r="HP36" s="28"/>
      <c r="HQ36" s="28"/>
      <c r="HR36" s="28"/>
      <c r="HS36" s="28"/>
      <c r="HT36" s="28"/>
      <c r="HU36" s="28"/>
      <c r="HV36" s="28"/>
      <c r="HW36" s="28"/>
      <c r="HX36" s="28"/>
      <c r="HY36" s="28"/>
      <c r="HZ36" s="28"/>
      <c r="IA36" s="28"/>
      <c r="IB36" s="28"/>
      <c r="IC36" s="28"/>
      <c r="ID36" s="28"/>
      <c r="IE36" s="28"/>
      <c r="IF36" s="28"/>
      <c r="IG36" s="28"/>
      <c r="IH36" s="28"/>
      <c r="II36" s="28"/>
      <c r="IJ36" s="28"/>
      <c r="IK36" s="28"/>
      <c r="IL36" s="28"/>
      <c r="IM36" s="28"/>
      <c r="IN36" s="28"/>
      <c r="IO36" s="28"/>
      <c r="IP36" s="28"/>
      <c r="IQ36" s="28"/>
      <c r="IR36" s="28"/>
      <c r="IS36" s="28"/>
      <c r="IT36" s="28"/>
      <c r="IU36" s="28"/>
      <c r="IV36" s="28"/>
      <c r="IW36" s="28"/>
      <c r="IX36" s="28"/>
      <c r="IY36" s="28"/>
      <c r="IZ36" s="28"/>
      <c r="JA36" s="28"/>
      <c r="JB36" s="28"/>
      <c r="JC36" s="28"/>
      <c r="JD36" s="28"/>
      <c r="JE36" s="28"/>
      <c r="JF36" s="28"/>
      <c r="JG36" s="28"/>
      <c r="JH36" s="28"/>
      <c r="JI36" s="28"/>
      <c r="JJ36" s="28"/>
      <c r="JK36" s="28"/>
      <c r="JL36" s="28"/>
      <c r="JM36" s="28"/>
      <c r="JN36" s="28"/>
      <c r="JO36" s="28"/>
      <c r="JP36" s="28"/>
      <c r="JQ36" s="28"/>
      <c r="JR36" s="28"/>
      <c r="JS36" s="28"/>
      <c r="JT36" s="28"/>
      <c r="JU36" s="28"/>
      <c r="JV36" s="28"/>
      <c r="JW36" s="28"/>
      <c r="JX36" s="28"/>
      <c r="JY36" s="28"/>
      <c r="JZ36" s="28"/>
      <c r="KA36" s="28"/>
      <c r="KB36" s="28"/>
      <c r="KC36" s="28"/>
      <c r="KD36" s="28"/>
      <c r="KE36" s="28"/>
      <c r="KF36" s="28"/>
      <c r="KG36" s="28"/>
      <c r="KH36" s="28"/>
      <c r="KI36" s="28"/>
      <c r="KJ36" s="28"/>
      <c r="KK36" s="28"/>
      <c r="KL36" s="28"/>
      <c r="KM36" s="28"/>
      <c r="KN36" s="28"/>
      <c r="KO36" s="28"/>
      <c r="KP36" s="28"/>
      <c r="KQ36" s="28"/>
      <c r="KR36" s="28"/>
      <c r="KS36" s="28"/>
      <c r="KT36" s="28"/>
      <c r="KU36" s="28"/>
      <c r="KV36" s="28"/>
      <c r="KW36" s="28"/>
      <c r="KX36" s="28"/>
      <c r="KY36" s="28"/>
      <c r="KZ36" s="28"/>
      <c r="LA36" s="28"/>
      <c r="LB36" s="28"/>
      <c r="LC36" s="28"/>
      <c r="LD36" s="28"/>
      <c r="LE36" s="28"/>
      <c r="LF36" s="28"/>
      <c r="LG36" s="28"/>
      <c r="LH36" s="28"/>
      <c r="LI36" s="28"/>
      <c r="LJ36" s="28"/>
      <c r="LK36" s="28"/>
      <c r="LL36" s="28"/>
      <c r="LM36" s="28"/>
      <c r="LN36" s="28"/>
      <c r="LO36" s="28"/>
      <c r="LP36" s="28"/>
      <c r="LQ36" s="28"/>
      <c r="LR36" s="28"/>
      <c r="LS36" s="28"/>
      <c r="LT36" s="28"/>
      <c r="LU36" s="28"/>
      <c r="LV36" s="28"/>
      <c r="LW36" s="28"/>
      <c r="LX36" s="28"/>
      <c r="LY36" s="28"/>
      <c r="LZ36" s="28"/>
      <c r="MA36" s="28"/>
      <c r="MB36" s="28"/>
      <c r="MC36" s="28"/>
      <c r="MD36" s="28"/>
      <c r="ME36" s="28"/>
      <c r="MF36" s="28"/>
      <c r="MG36" s="28"/>
      <c r="MH36" s="28"/>
      <c r="MI36" s="28"/>
      <c r="MJ36" s="28"/>
      <c r="MK36" s="28"/>
      <c r="ML36" s="28"/>
      <c r="MM36" s="28"/>
      <c r="MN36" s="28"/>
      <c r="MO36" s="28"/>
      <c r="MP36" s="28"/>
      <c r="MQ36" s="28"/>
      <c r="MR36" s="28"/>
      <c r="MS36" s="28"/>
      <c r="MT36" s="28"/>
      <c r="MU36" s="28"/>
      <c r="MV36" s="28"/>
      <c r="MW36" s="28"/>
      <c r="MX36" s="28"/>
      <c r="MY36" s="28"/>
      <c r="MZ36" s="28"/>
      <c r="NA36" s="28"/>
    </row>
    <row r="37" spans="1:365" s="3" customFormat="1" ht="30" customHeight="1" x14ac:dyDescent="0.25">
      <c r="A37" s="41"/>
      <c r="B37" s="69" t="s">
        <v>52</v>
      </c>
      <c r="C37" s="66" t="s">
        <v>25</v>
      </c>
      <c r="D37" s="67">
        <v>0</v>
      </c>
      <c r="E37" s="68">
        <f>F36-2</f>
        <v>46233</v>
      </c>
      <c r="F37" s="68">
        <f>E37+4</f>
        <v>46237</v>
      </c>
      <c r="G37" s="17"/>
      <c r="H37" s="17">
        <v>4</v>
      </c>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c r="HL37" s="28"/>
      <c r="HM37" s="28"/>
      <c r="HN37" s="28"/>
      <c r="HO37" s="28"/>
      <c r="HP37" s="28"/>
      <c r="HQ37" s="28"/>
      <c r="HR37" s="28"/>
      <c r="HS37" s="28"/>
      <c r="HT37" s="28"/>
      <c r="HU37" s="28"/>
      <c r="HV37" s="28"/>
      <c r="HW37" s="28"/>
      <c r="HX37" s="28"/>
      <c r="HY37" s="28"/>
      <c r="HZ37" s="28"/>
      <c r="IA37" s="28"/>
      <c r="IB37" s="28"/>
      <c r="IC37" s="28"/>
      <c r="ID37" s="28"/>
      <c r="IE37" s="28"/>
      <c r="IF37" s="28"/>
      <c r="IG37" s="28"/>
      <c r="IH37" s="28"/>
      <c r="II37" s="28"/>
      <c r="IJ37" s="28"/>
      <c r="IK37" s="28"/>
      <c r="IL37" s="28"/>
      <c r="IM37" s="28"/>
      <c r="IN37" s="28"/>
      <c r="IO37" s="28"/>
      <c r="IP37" s="28"/>
      <c r="IQ37" s="28"/>
      <c r="IR37" s="28"/>
      <c r="IS37" s="28"/>
      <c r="IT37" s="28"/>
      <c r="IU37" s="28"/>
      <c r="IV37" s="28"/>
      <c r="IW37" s="28"/>
      <c r="IX37" s="28"/>
      <c r="IY37" s="28"/>
      <c r="IZ37" s="28"/>
      <c r="JA37" s="28"/>
      <c r="JB37" s="28"/>
      <c r="JC37" s="28"/>
      <c r="JD37" s="28"/>
      <c r="JE37" s="28"/>
      <c r="JF37" s="28"/>
      <c r="JG37" s="28"/>
      <c r="JH37" s="28"/>
      <c r="JI37" s="28"/>
      <c r="JJ37" s="28"/>
      <c r="JK37" s="28"/>
      <c r="JL37" s="28"/>
      <c r="JM37" s="28"/>
      <c r="JN37" s="28"/>
      <c r="JO37" s="28"/>
      <c r="JP37" s="28"/>
      <c r="JQ37" s="28"/>
      <c r="JR37" s="28"/>
      <c r="JS37" s="28"/>
      <c r="JT37" s="28"/>
      <c r="JU37" s="28"/>
      <c r="JV37" s="28"/>
      <c r="JW37" s="28"/>
      <c r="JX37" s="28"/>
      <c r="JY37" s="28"/>
      <c r="JZ37" s="28"/>
      <c r="KA37" s="28"/>
      <c r="KB37" s="28"/>
      <c r="KC37" s="28"/>
      <c r="KD37" s="28"/>
      <c r="KE37" s="28"/>
      <c r="KF37" s="28"/>
      <c r="KG37" s="28"/>
      <c r="KH37" s="28"/>
      <c r="KI37" s="28"/>
      <c r="KJ37" s="28"/>
      <c r="KK37" s="28"/>
      <c r="KL37" s="28"/>
      <c r="KM37" s="28"/>
      <c r="KN37" s="28"/>
      <c r="KO37" s="28"/>
      <c r="KP37" s="28"/>
      <c r="KQ37" s="28"/>
      <c r="KR37" s="28"/>
      <c r="KS37" s="28"/>
      <c r="KT37" s="28"/>
      <c r="KU37" s="28"/>
      <c r="KV37" s="28"/>
      <c r="KW37" s="28"/>
      <c r="KX37" s="28"/>
      <c r="KY37" s="28"/>
      <c r="KZ37" s="28"/>
      <c r="LA37" s="28"/>
      <c r="LB37" s="28"/>
      <c r="LC37" s="28"/>
      <c r="LD37" s="28"/>
      <c r="LE37" s="28"/>
      <c r="LF37" s="28"/>
      <c r="LG37" s="28"/>
      <c r="LH37" s="28"/>
      <c r="LI37" s="28"/>
      <c r="LJ37" s="28"/>
      <c r="LK37" s="28"/>
      <c r="LL37" s="28"/>
      <c r="LM37" s="28"/>
      <c r="LN37" s="28"/>
      <c r="LO37" s="28"/>
      <c r="LP37" s="28"/>
      <c r="LQ37" s="28"/>
      <c r="LR37" s="28"/>
      <c r="LS37" s="28"/>
      <c r="LT37" s="28"/>
      <c r="LU37" s="28"/>
      <c r="LV37" s="28"/>
      <c r="LW37" s="28"/>
      <c r="LX37" s="28"/>
      <c r="LY37" s="28"/>
      <c r="LZ37" s="28"/>
      <c r="MA37" s="28"/>
      <c r="MB37" s="28"/>
      <c r="MC37" s="28"/>
      <c r="MD37" s="28"/>
      <c r="ME37" s="28"/>
      <c r="MF37" s="28"/>
      <c r="MG37" s="28"/>
      <c r="MH37" s="28"/>
      <c r="MI37" s="28"/>
      <c r="MJ37" s="28"/>
      <c r="MK37" s="28"/>
      <c r="ML37" s="28"/>
      <c r="MM37" s="28"/>
      <c r="MN37" s="28"/>
      <c r="MO37" s="28"/>
      <c r="MP37" s="28"/>
      <c r="MQ37" s="28"/>
      <c r="MR37" s="28"/>
      <c r="MS37" s="28"/>
      <c r="MT37" s="28"/>
      <c r="MU37" s="28"/>
      <c r="MV37" s="28"/>
      <c r="MW37" s="28"/>
      <c r="MX37" s="28"/>
      <c r="MY37" s="28"/>
      <c r="MZ37" s="28"/>
      <c r="NA37" s="28"/>
    </row>
    <row r="38" spans="1:365" s="3" customFormat="1" ht="30" customHeight="1" x14ac:dyDescent="0.25">
      <c r="A38" s="41" t="s">
        <v>53</v>
      </c>
      <c r="B38" s="69" t="s">
        <v>54</v>
      </c>
      <c r="C38" s="66" t="s">
        <v>21</v>
      </c>
      <c r="D38" s="67">
        <v>0</v>
      </c>
      <c r="E38" s="68">
        <v>46235</v>
      </c>
      <c r="F38" s="68">
        <v>46242</v>
      </c>
      <c r="G38" s="17"/>
      <c r="H38" s="17">
        <v>7</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c r="HL38" s="28"/>
      <c r="HM38" s="28"/>
      <c r="HN38" s="28"/>
      <c r="HO38" s="28"/>
      <c r="HP38" s="28"/>
      <c r="HQ38" s="28"/>
      <c r="HR38" s="28"/>
      <c r="HS38" s="28"/>
      <c r="HT38" s="28"/>
      <c r="HU38" s="28"/>
      <c r="HV38" s="28"/>
      <c r="HW38" s="28"/>
      <c r="HX38" s="28"/>
      <c r="HY38" s="28"/>
      <c r="HZ38" s="28"/>
      <c r="IA38" s="28"/>
      <c r="IB38" s="28"/>
      <c r="IC38" s="28"/>
      <c r="ID38" s="28"/>
      <c r="IE38" s="28"/>
      <c r="IF38" s="28"/>
      <c r="IG38" s="28"/>
      <c r="IH38" s="28"/>
      <c r="II38" s="28"/>
      <c r="IJ38" s="28"/>
      <c r="IK38" s="28"/>
      <c r="IL38" s="28"/>
      <c r="IM38" s="28"/>
      <c r="IN38" s="28"/>
      <c r="IO38" s="28"/>
      <c r="IP38" s="28"/>
      <c r="IQ38" s="28"/>
      <c r="IR38" s="28"/>
      <c r="IS38" s="28"/>
      <c r="IT38" s="28"/>
      <c r="IU38" s="28"/>
      <c r="IV38" s="28"/>
      <c r="IW38" s="28"/>
      <c r="IX38" s="28"/>
      <c r="IY38" s="28"/>
      <c r="IZ38" s="28"/>
      <c r="JA38" s="28"/>
      <c r="JB38" s="28"/>
      <c r="JC38" s="28"/>
      <c r="JD38" s="28"/>
      <c r="JE38" s="28"/>
      <c r="JF38" s="28"/>
      <c r="JG38" s="28"/>
      <c r="JH38" s="28"/>
      <c r="JI38" s="28"/>
      <c r="JJ38" s="28"/>
      <c r="JK38" s="28"/>
      <c r="JL38" s="28"/>
      <c r="JM38" s="28"/>
      <c r="JN38" s="28"/>
      <c r="JO38" s="28"/>
      <c r="JP38" s="28"/>
      <c r="JQ38" s="28"/>
      <c r="JR38" s="28"/>
      <c r="JS38" s="28"/>
      <c r="JT38" s="28"/>
      <c r="JU38" s="28"/>
      <c r="JV38" s="28"/>
      <c r="JW38" s="28"/>
      <c r="JX38" s="28"/>
      <c r="JY38" s="28"/>
      <c r="JZ38" s="28"/>
      <c r="KA38" s="28"/>
      <c r="KB38" s="28"/>
      <c r="KC38" s="28"/>
      <c r="KD38" s="28"/>
      <c r="KE38" s="28"/>
      <c r="KF38" s="28"/>
      <c r="KG38" s="28"/>
      <c r="KH38" s="28"/>
      <c r="KI38" s="28"/>
      <c r="KJ38" s="28"/>
      <c r="KK38" s="28"/>
      <c r="KL38" s="28"/>
      <c r="KM38" s="28"/>
      <c r="KN38" s="28"/>
      <c r="KO38" s="28"/>
      <c r="KP38" s="28"/>
      <c r="KQ38" s="28"/>
      <c r="KR38" s="28"/>
      <c r="KS38" s="28"/>
      <c r="KT38" s="28"/>
      <c r="KU38" s="28"/>
      <c r="KV38" s="28"/>
      <c r="KW38" s="28"/>
      <c r="KX38" s="28"/>
      <c r="KY38" s="28"/>
      <c r="KZ38" s="28"/>
      <c r="LA38" s="28"/>
      <c r="LB38" s="28"/>
      <c r="LC38" s="28"/>
      <c r="LD38" s="28"/>
      <c r="LE38" s="28"/>
      <c r="LF38" s="28"/>
      <c r="LG38" s="28"/>
      <c r="LH38" s="28"/>
      <c r="LI38" s="28"/>
      <c r="LJ38" s="28"/>
      <c r="LK38" s="28"/>
      <c r="LL38" s="28"/>
      <c r="LM38" s="28"/>
      <c r="LN38" s="28"/>
      <c r="LO38" s="28"/>
      <c r="LP38" s="28"/>
      <c r="LQ38" s="28"/>
      <c r="LR38" s="28"/>
      <c r="LS38" s="28"/>
      <c r="LT38" s="28"/>
      <c r="LU38" s="28"/>
      <c r="LV38" s="28"/>
      <c r="LW38" s="28"/>
      <c r="LX38" s="28"/>
      <c r="LY38" s="28"/>
      <c r="LZ38" s="28"/>
      <c r="MA38" s="28"/>
      <c r="MB38" s="28"/>
      <c r="MC38" s="28"/>
      <c r="MD38" s="28"/>
      <c r="ME38" s="28"/>
      <c r="MF38" s="28"/>
      <c r="MG38" s="28"/>
      <c r="MH38" s="28"/>
      <c r="MI38" s="28"/>
      <c r="MJ38" s="28"/>
      <c r="MK38" s="28"/>
      <c r="ML38" s="28"/>
      <c r="MM38" s="28"/>
      <c r="MN38" s="28"/>
      <c r="MO38" s="28"/>
      <c r="MP38" s="28"/>
      <c r="MQ38" s="28"/>
      <c r="MR38" s="28"/>
      <c r="MS38" s="28"/>
      <c r="MT38" s="28"/>
      <c r="MU38" s="28"/>
      <c r="MV38" s="28"/>
      <c r="MW38" s="28"/>
      <c r="MX38" s="28"/>
      <c r="MY38" s="28"/>
      <c r="MZ38" s="28"/>
      <c r="NA38" s="28"/>
    </row>
    <row r="39" spans="1:365" s="3" customFormat="1" ht="30" customHeight="1" x14ac:dyDescent="0.25">
      <c r="A39" s="42"/>
      <c r="B39" s="69" t="s">
        <v>29</v>
      </c>
      <c r="C39" s="66" t="s">
        <v>36</v>
      </c>
      <c r="D39" s="67">
        <v>0</v>
      </c>
      <c r="E39" s="68">
        <v>46238</v>
      </c>
      <c r="F39" s="68">
        <v>46243</v>
      </c>
      <c r="G39" s="17"/>
      <c r="H39" s="17">
        <v>5</v>
      </c>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c r="BT39" s="71"/>
      <c r="BU39" s="71"/>
      <c r="BV39" s="71"/>
      <c r="BW39" s="71"/>
      <c r="BX39" s="71"/>
      <c r="BY39" s="71"/>
      <c r="BZ39" s="71"/>
      <c r="CA39" s="71"/>
      <c r="CB39" s="71"/>
      <c r="CC39" s="71"/>
      <c r="CD39" s="71"/>
      <c r="CE39" s="71"/>
      <c r="CF39" s="71"/>
      <c r="CG39" s="71"/>
      <c r="CH39" s="71"/>
      <c r="CI39" s="71"/>
      <c r="CJ39" s="71"/>
      <c r="CK39" s="71"/>
      <c r="CL39" s="71"/>
      <c r="CM39" s="71"/>
      <c r="CN39" s="71"/>
      <c r="CO39" s="71"/>
      <c r="CP39" s="71"/>
      <c r="CQ39" s="71"/>
      <c r="CR39" s="71"/>
      <c r="CS39" s="71"/>
      <c r="CT39" s="71"/>
      <c r="CU39" s="71"/>
      <c r="CV39" s="71"/>
      <c r="CW39" s="71"/>
      <c r="CX39" s="71"/>
      <c r="CY39" s="71"/>
      <c r="CZ39" s="71"/>
      <c r="DA39" s="71"/>
      <c r="DB39" s="71"/>
      <c r="DC39" s="71"/>
      <c r="DD39" s="71"/>
      <c r="DE39" s="71"/>
      <c r="DF39" s="71"/>
      <c r="DG39" s="71"/>
      <c r="DH39" s="71"/>
      <c r="DI39" s="71"/>
      <c r="DJ39" s="71"/>
      <c r="DK39" s="71"/>
      <c r="DL39" s="71"/>
      <c r="DM39" s="71"/>
      <c r="DN39" s="71"/>
      <c r="DO39" s="71"/>
      <c r="DP39" s="71"/>
      <c r="DQ39" s="71"/>
      <c r="DR39" s="71"/>
      <c r="DS39" s="71"/>
      <c r="DT39" s="71"/>
      <c r="DU39" s="71"/>
      <c r="DV39" s="71"/>
      <c r="DW39" s="71"/>
      <c r="DX39" s="71"/>
      <c r="DY39" s="71"/>
      <c r="DZ39" s="71"/>
      <c r="EA39" s="71"/>
      <c r="EB39" s="71"/>
      <c r="EC39" s="71"/>
      <c r="ED39" s="71"/>
      <c r="EE39" s="71"/>
      <c r="EF39" s="71"/>
      <c r="EG39" s="71"/>
      <c r="EH39" s="71"/>
      <c r="EI39" s="71"/>
      <c r="EJ39" s="71"/>
      <c r="EK39" s="71"/>
      <c r="EL39" s="71"/>
      <c r="EM39" s="71"/>
      <c r="EN39" s="71"/>
      <c r="EO39" s="71"/>
      <c r="EP39" s="71"/>
      <c r="EQ39" s="71"/>
      <c r="ER39" s="71"/>
      <c r="ES39" s="71"/>
      <c r="ET39" s="71"/>
      <c r="EU39" s="71"/>
      <c r="EV39" s="71"/>
      <c r="EW39" s="71"/>
      <c r="EX39" s="71"/>
      <c r="EY39" s="71"/>
      <c r="EZ39" s="71"/>
      <c r="FA39" s="71"/>
      <c r="FB39" s="71"/>
      <c r="FC39" s="71"/>
      <c r="FD39" s="71"/>
      <c r="FE39" s="71"/>
      <c r="FF39" s="71"/>
      <c r="FG39" s="71"/>
      <c r="FH39" s="71"/>
      <c r="FI39" s="71"/>
      <c r="FJ39" s="71"/>
      <c r="FK39" s="71"/>
      <c r="FL39" s="71"/>
      <c r="FM39" s="71"/>
      <c r="FN39" s="71"/>
      <c r="FO39" s="71"/>
      <c r="FP39" s="71"/>
      <c r="FQ39" s="71"/>
      <c r="FR39" s="71"/>
      <c r="FS39" s="71"/>
      <c r="FT39" s="71"/>
      <c r="FU39" s="71"/>
      <c r="FV39" s="71"/>
      <c r="FW39" s="71"/>
      <c r="FX39" s="71"/>
      <c r="FY39" s="71"/>
      <c r="FZ39" s="71"/>
      <c r="GA39" s="71"/>
      <c r="GB39" s="71"/>
      <c r="GC39" s="71"/>
      <c r="GD39" s="71"/>
      <c r="GE39" s="71"/>
      <c r="GF39" s="71"/>
      <c r="GG39" s="71"/>
      <c r="GH39" s="71"/>
      <c r="GI39" s="71"/>
      <c r="GJ39" s="71"/>
      <c r="GK39" s="71"/>
      <c r="GL39" s="71"/>
      <c r="GM39" s="71"/>
      <c r="GN39" s="71"/>
      <c r="GO39" s="71"/>
      <c r="GP39" s="71"/>
      <c r="GQ39" s="71"/>
      <c r="GR39" s="71"/>
      <c r="GS39" s="71"/>
      <c r="GT39" s="71"/>
      <c r="GU39" s="71"/>
      <c r="GV39" s="71"/>
      <c r="GW39" s="71"/>
      <c r="GX39" s="71"/>
      <c r="GY39" s="71"/>
      <c r="GZ39" s="71"/>
      <c r="HA39" s="71"/>
      <c r="HB39" s="71"/>
      <c r="HC39" s="71"/>
      <c r="HD39" s="71"/>
      <c r="HE39" s="71"/>
      <c r="HF39" s="71"/>
      <c r="HG39" s="71"/>
      <c r="HH39" s="71"/>
      <c r="HI39" s="71"/>
      <c r="HJ39" s="71"/>
      <c r="HK39" s="71"/>
      <c r="HL39" s="71"/>
      <c r="HM39" s="71"/>
      <c r="HN39" s="71"/>
      <c r="HO39" s="71"/>
      <c r="HP39" s="71"/>
      <c r="HQ39" s="71"/>
      <c r="HR39" s="71"/>
      <c r="HS39" s="71"/>
      <c r="HT39" s="71"/>
      <c r="HU39" s="71"/>
      <c r="HV39" s="71"/>
      <c r="HW39" s="71"/>
      <c r="HX39" s="71"/>
      <c r="HY39" s="71"/>
      <c r="HZ39" s="71"/>
      <c r="IA39" s="71"/>
      <c r="IB39" s="71"/>
      <c r="IC39" s="71"/>
      <c r="ID39" s="71"/>
      <c r="IE39" s="71"/>
      <c r="IF39" s="71"/>
      <c r="IG39" s="71"/>
      <c r="IH39" s="71"/>
      <c r="II39" s="71"/>
      <c r="IJ39" s="71"/>
      <c r="IK39" s="71"/>
      <c r="IL39" s="71"/>
      <c r="IM39" s="71"/>
      <c r="IN39" s="71"/>
      <c r="IO39" s="71"/>
      <c r="IP39" s="71"/>
      <c r="IQ39" s="71"/>
      <c r="IR39" s="71"/>
      <c r="IS39" s="71"/>
      <c r="IT39" s="71"/>
      <c r="IU39" s="71"/>
      <c r="IV39" s="71"/>
      <c r="IW39" s="71"/>
      <c r="IX39" s="71"/>
      <c r="IY39" s="71"/>
      <c r="IZ39" s="71"/>
      <c r="JA39" s="71"/>
      <c r="JB39" s="71"/>
      <c r="JC39" s="71"/>
      <c r="JD39" s="71"/>
      <c r="JE39" s="71"/>
      <c r="JF39" s="71"/>
      <c r="JG39" s="71"/>
      <c r="JH39" s="71"/>
      <c r="JI39" s="71"/>
      <c r="JJ39" s="71"/>
      <c r="JK39" s="71"/>
      <c r="JL39" s="71"/>
      <c r="JM39" s="71"/>
      <c r="JN39" s="71"/>
      <c r="JO39" s="71"/>
      <c r="JP39" s="71"/>
      <c r="JQ39" s="71"/>
      <c r="JR39" s="71"/>
      <c r="JS39" s="71"/>
      <c r="JT39" s="71"/>
      <c r="JU39" s="71"/>
      <c r="JV39" s="71"/>
      <c r="JW39" s="71"/>
      <c r="JX39" s="71"/>
      <c r="JY39" s="71"/>
      <c r="JZ39" s="71"/>
      <c r="KA39" s="71"/>
      <c r="KB39" s="71"/>
      <c r="KC39" s="71"/>
      <c r="KD39" s="71"/>
      <c r="KE39" s="71"/>
      <c r="KF39" s="71"/>
      <c r="KG39" s="71"/>
      <c r="KH39" s="71"/>
      <c r="KI39" s="71"/>
      <c r="KJ39" s="71"/>
      <c r="KK39" s="71"/>
      <c r="KL39" s="71"/>
      <c r="KM39" s="71"/>
      <c r="KN39" s="71"/>
      <c r="KO39" s="71"/>
      <c r="KP39" s="71"/>
      <c r="KQ39" s="71"/>
      <c r="KR39" s="71"/>
      <c r="KS39" s="71"/>
      <c r="KT39" s="71"/>
      <c r="KU39" s="71"/>
      <c r="KV39" s="71"/>
      <c r="KW39" s="71"/>
      <c r="KX39" s="71"/>
      <c r="KY39" s="71"/>
      <c r="KZ39" s="71"/>
      <c r="LA39" s="71"/>
      <c r="LB39" s="71"/>
      <c r="LC39" s="71"/>
      <c r="LD39" s="71"/>
      <c r="LE39" s="71"/>
      <c r="LF39" s="71"/>
      <c r="LG39" s="71"/>
      <c r="LH39" s="71"/>
      <c r="LI39" s="71"/>
      <c r="LJ39" s="71"/>
      <c r="LK39" s="71"/>
      <c r="LL39" s="71"/>
      <c r="LM39" s="71"/>
      <c r="LN39" s="71"/>
      <c r="LO39" s="71"/>
      <c r="LP39" s="71"/>
      <c r="LQ39" s="71"/>
      <c r="LR39" s="71"/>
      <c r="LS39" s="71"/>
      <c r="LT39" s="71"/>
      <c r="LU39" s="71"/>
      <c r="LV39" s="71"/>
      <c r="LW39" s="71"/>
      <c r="LX39" s="71"/>
      <c r="LY39" s="71"/>
      <c r="LZ39" s="71"/>
      <c r="MA39" s="71"/>
      <c r="MB39" s="71"/>
      <c r="MC39" s="71"/>
      <c r="MD39" s="71"/>
      <c r="ME39" s="71"/>
      <c r="MF39" s="71"/>
      <c r="MG39" s="71"/>
      <c r="MH39" s="71"/>
      <c r="MI39" s="71"/>
      <c r="MJ39" s="71"/>
      <c r="MK39" s="71"/>
      <c r="ML39" s="71"/>
      <c r="MM39" s="71"/>
      <c r="MN39" s="71"/>
      <c r="MO39" s="71"/>
      <c r="MP39" s="71"/>
      <c r="MQ39" s="71"/>
      <c r="MR39" s="71"/>
      <c r="MS39" s="71"/>
      <c r="MT39" s="71"/>
      <c r="MU39" s="71"/>
      <c r="MV39" s="71"/>
      <c r="MW39" s="71"/>
      <c r="MX39" s="71"/>
      <c r="MY39" s="71"/>
      <c r="MZ39" s="71"/>
      <c r="NA39" s="71"/>
    </row>
    <row r="40" spans="1:365" s="3" customFormat="1" ht="30" customHeight="1" thickBot="1" x14ac:dyDescent="0.3">
      <c r="A40" s="42"/>
      <c r="B40" s="69" t="s">
        <v>30</v>
      </c>
      <c r="C40" s="66" t="s">
        <v>21</v>
      </c>
      <c r="D40" s="67">
        <v>0</v>
      </c>
      <c r="E40" s="68">
        <v>46245</v>
      </c>
      <c r="F40" s="68">
        <v>46245</v>
      </c>
      <c r="G40" s="17"/>
      <c r="H40" s="17">
        <v>1</v>
      </c>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1"/>
      <c r="BV40" s="71"/>
      <c r="BW40" s="71"/>
      <c r="BX40" s="71"/>
      <c r="BY40" s="71"/>
      <c r="BZ40" s="71"/>
      <c r="CA40" s="71"/>
      <c r="CB40" s="71"/>
      <c r="CC40" s="71"/>
      <c r="CD40" s="71"/>
      <c r="CE40" s="71"/>
      <c r="CF40" s="71"/>
      <c r="CG40" s="71"/>
      <c r="CH40" s="71"/>
      <c r="CI40" s="71"/>
      <c r="CJ40" s="71"/>
      <c r="CK40" s="71"/>
      <c r="CL40" s="71"/>
      <c r="CM40" s="71"/>
      <c r="CN40" s="71"/>
      <c r="CO40" s="71"/>
      <c r="CP40" s="71"/>
      <c r="CQ40" s="71"/>
      <c r="CR40" s="71"/>
      <c r="CS40" s="71"/>
      <c r="CT40" s="71"/>
      <c r="CU40" s="71"/>
      <c r="CV40" s="71"/>
      <c r="CW40" s="71"/>
      <c r="CX40" s="71"/>
      <c r="CY40" s="71"/>
      <c r="CZ40" s="71"/>
      <c r="DA40" s="71"/>
      <c r="DB40" s="71"/>
      <c r="DC40" s="71"/>
      <c r="DD40" s="71"/>
      <c r="DE40" s="71"/>
      <c r="DF40" s="71"/>
      <c r="DG40" s="71"/>
      <c r="DH40" s="71"/>
      <c r="DI40" s="71"/>
      <c r="DJ40" s="71"/>
      <c r="DK40" s="71"/>
      <c r="DL40" s="71"/>
      <c r="DM40" s="71"/>
      <c r="DN40" s="71"/>
      <c r="DO40" s="71"/>
      <c r="DP40" s="71"/>
      <c r="DQ40" s="71"/>
      <c r="DR40" s="71"/>
      <c r="DS40" s="71"/>
      <c r="DT40" s="71"/>
      <c r="DU40" s="71"/>
      <c r="DV40" s="71"/>
      <c r="DW40" s="71"/>
      <c r="DX40" s="71"/>
      <c r="DY40" s="71"/>
      <c r="DZ40" s="71"/>
      <c r="EA40" s="71"/>
      <c r="EB40" s="71"/>
      <c r="EC40" s="71"/>
      <c r="ED40" s="71"/>
      <c r="EE40" s="71"/>
      <c r="EF40" s="71"/>
      <c r="EG40" s="71"/>
      <c r="EH40" s="71"/>
      <c r="EI40" s="71"/>
      <c r="EJ40" s="71"/>
      <c r="EK40" s="71"/>
      <c r="EL40" s="71"/>
      <c r="EM40" s="71"/>
      <c r="EN40" s="71"/>
      <c r="EO40" s="71"/>
      <c r="EP40" s="71"/>
      <c r="EQ40" s="71"/>
      <c r="ER40" s="71"/>
      <c r="ES40" s="71"/>
      <c r="ET40" s="71"/>
      <c r="EU40" s="71"/>
      <c r="EV40" s="71"/>
      <c r="EW40" s="71"/>
      <c r="EX40" s="71"/>
      <c r="EY40" s="71"/>
      <c r="EZ40" s="71"/>
      <c r="FA40" s="71"/>
      <c r="FB40" s="71"/>
      <c r="FC40" s="71"/>
      <c r="FD40" s="71"/>
      <c r="FE40" s="71"/>
      <c r="FF40" s="71"/>
      <c r="FG40" s="71"/>
      <c r="FH40" s="71"/>
      <c r="FI40" s="71"/>
      <c r="FJ40" s="71"/>
      <c r="FK40" s="71"/>
      <c r="FL40" s="71"/>
      <c r="FM40" s="71"/>
      <c r="FN40" s="71"/>
      <c r="FO40" s="71"/>
      <c r="FP40" s="71"/>
      <c r="FQ40" s="71"/>
      <c r="FR40" s="71"/>
      <c r="FS40" s="71"/>
      <c r="FT40" s="71"/>
      <c r="FU40" s="71"/>
      <c r="FV40" s="71"/>
      <c r="FW40" s="71"/>
      <c r="FX40" s="71"/>
      <c r="FY40" s="71"/>
      <c r="FZ40" s="71"/>
      <c r="GA40" s="71"/>
      <c r="GB40" s="71"/>
      <c r="GC40" s="71"/>
      <c r="GD40" s="71"/>
      <c r="GE40" s="71"/>
      <c r="GF40" s="71"/>
      <c r="GG40" s="71"/>
      <c r="GH40" s="71"/>
      <c r="GI40" s="71"/>
      <c r="GJ40" s="71"/>
      <c r="GK40" s="71"/>
      <c r="GL40" s="71"/>
      <c r="GM40" s="71"/>
      <c r="GN40" s="71"/>
      <c r="GO40" s="71"/>
      <c r="GP40" s="71"/>
      <c r="GQ40" s="71"/>
      <c r="GR40" s="71"/>
      <c r="GS40" s="71"/>
      <c r="GT40" s="71"/>
      <c r="GU40" s="71"/>
      <c r="GV40" s="71"/>
      <c r="GW40" s="71"/>
      <c r="GX40" s="71"/>
      <c r="GY40" s="71"/>
      <c r="GZ40" s="71"/>
      <c r="HA40" s="71"/>
      <c r="HB40" s="71"/>
      <c r="HC40" s="71"/>
      <c r="HD40" s="71"/>
      <c r="HE40" s="71"/>
      <c r="HF40" s="71"/>
      <c r="HG40" s="71"/>
      <c r="HH40" s="71"/>
      <c r="HI40" s="71"/>
      <c r="HJ40" s="71"/>
      <c r="HK40" s="71"/>
      <c r="HL40" s="71"/>
      <c r="HM40" s="71"/>
      <c r="HN40" s="71"/>
      <c r="HO40" s="71"/>
      <c r="HP40" s="71"/>
      <c r="HQ40" s="71"/>
      <c r="HR40" s="71"/>
      <c r="HS40" s="71"/>
      <c r="HT40" s="71"/>
      <c r="HU40" s="71"/>
      <c r="HV40" s="71"/>
      <c r="HW40" s="71"/>
      <c r="HX40" s="71"/>
      <c r="HY40" s="71"/>
      <c r="HZ40" s="71"/>
      <c r="IA40" s="71"/>
      <c r="IB40" s="71"/>
      <c r="IC40" s="71"/>
      <c r="ID40" s="71"/>
      <c r="IE40" s="71"/>
      <c r="IF40" s="71"/>
      <c r="IG40" s="71"/>
      <c r="IH40" s="71"/>
      <c r="II40" s="71"/>
      <c r="IJ40" s="71"/>
      <c r="IK40" s="71"/>
      <c r="IL40" s="71"/>
      <c r="IM40" s="71"/>
      <c r="IN40" s="71"/>
      <c r="IO40" s="71"/>
      <c r="IP40" s="71"/>
      <c r="IQ40" s="71"/>
      <c r="IR40" s="71"/>
      <c r="IS40" s="71"/>
      <c r="IT40" s="71"/>
      <c r="IU40" s="71"/>
      <c r="IV40" s="71"/>
      <c r="IW40" s="71"/>
      <c r="IX40" s="71"/>
      <c r="IY40" s="71"/>
      <c r="IZ40" s="71"/>
      <c r="JA40" s="71"/>
      <c r="JB40" s="71"/>
      <c r="JC40" s="71"/>
      <c r="JD40" s="71"/>
      <c r="JE40" s="71"/>
      <c r="JF40" s="71"/>
      <c r="JG40" s="71"/>
      <c r="JH40" s="71"/>
      <c r="JI40" s="71"/>
      <c r="JJ40" s="71"/>
      <c r="JK40" s="71"/>
      <c r="JL40" s="71"/>
      <c r="JM40" s="71"/>
      <c r="JN40" s="71"/>
      <c r="JO40" s="71"/>
      <c r="JP40" s="71"/>
      <c r="JQ40" s="71"/>
      <c r="JR40" s="71"/>
      <c r="JS40" s="71"/>
      <c r="JT40" s="71"/>
      <c r="JU40" s="71"/>
      <c r="JV40" s="71"/>
      <c r="JW40" s="71"/>
      <c r="JX40" s="71"/>
      <c r="JY40" s="71"/>
      <c r="JZ40" s="71"/>
      <c r="KA40" s="71"/>
      <c r="KB40" s="71"/>
      <c r="KC40" s="71"/>
      <c r="KD40" s="71"/>
      <c r="KE40" s="71"/>
      <c r="KF40" s="71"/>
      <c r="KG40" s="71"/>
      <c r="KH40" s="71"/>
      <c r="KI40" s="71"/>
      <c r="KJ40" s="71"/>
      <c r="KK40" s="71"/>
      <c r="KL40" s="71"/>
      <c r="KM40" s="71"/>
      <c r="KN40" s="71"/>
      <c r="KO40" s="71"/>
      <c r="KP40" s="71"/>
      <c r="KQ40" s="71"/>
      <c r="KR40" s="71"/>
      <c r="KS40" s="71"/>
      <c r="KT40" s="71"/>
      <c r="KU40" s="71"/>
      <c r="KV40" s="71"/>
      <c r="KW40" s="71"/>
      <c r="KX40" s="71"/>
      <c r="KY40" s="71"/>
      <c r="KZ40" s="71"/>
      <c r="LA40" s="71"/>
      <c r="LB40" s="71"/>
      <c r="LC40" s="71"/>
      <c r="LD40" s="71"/>
      <c r="LE40" s="71"/>
      <c r="LF40" s="71"/>
      <c r="LG40" s="71"/>
      <c r="LH40" s="71"/>
      <c r="LI40" s="71"/>
      <c r="LJ40" s="71"/>
      <c r="LK40" s="71"/>
      <c r="LL40" s="71"/>
      <c r="LM40" s="71"/>
      <c r="LN40" s="71"/>
      <c r="LO40" s="71"/>
      <c r="LP40" s="71"/>
      <c r="LQ40" s="71"/>
      <c r="LR40" s="71"/>
      <c r="LS40" s="71"/>
      <c r="LT40" s="71"/>
      <c r="LU40" s="71"/>
      <c r="LV40" s="71"/>
      <c r="LW40" s="71"/>
      <c r="LX40" s="71"/>
      <c r="LY40" s="71"/>
      <c r="LZ40" s="71"/>
      <c r="MA40" s="71"/>
      <c r="MB40" s="71"/>
      <c r="MC40" s="71"/>
      <c r="MD40" s="71"/>
      <c r="ME40" s="71"/>
      <c r="MF40" s="71"/>
      <c r="MG40" s="71"/>
      <c r="MH40" s="71"/>
      <c r="MI40" s="71"/>
      <c r="MJ40" s="71"/>
      <c r="MK40" s="71"/>
      <c r="ML40" s="71"/>
      <c r="MM40" s="71"/>
      <c r="MN40" s="71"/>
      <c r="MO40" s="71"/>
      <c r="MP40" s="71"/>
      <c r="MQ40" s="71"/>
      <c r="MR40" s="71"/>
      <c r="MS40" s="71"/>
      <c r="MT40" s="71"/>
      <c r="MU40" s="71"/>
      <c r="MV40" s="71"/>
      <c r="MW40" s="71"/>
      <c r="MX40" s="71"/>
      <c r="MY40" s="71"/>
      <c r="MZ40" s="71"/>
      <c r="NA40" s="71"/>
    </row>
    <row r="41" spans="1:365" ht="30" customHeight="1" thickBot="1" x14ac:dyDescent="0.3">
      <c r="B41" s="53"/>
      <c r="C41" s="52"/>
      <c r="D41" s="16"/>
      <c r="E41" s="49"/>
      <c r="F41" s="49"/>
      <c r="G41" s="17"/>
      <c r="H41" s="17" t="str">
        <f t="shared" si="346"/>
        <v/>
      </c>
    </row>
    <row r="42" spans="1:365" ht="30" customHeight="1" x14ac:dyDescent="0.25">
      <c r="B42" s="22" t="s">
        <v>55</v>
      </c>
      <c r="C42" s="23"/>
      <c r="D42" s="24"/>
      <c r="E42" s="25"/>
      <c r="F42" s="26"/>
      <c r="G42" s="27"/>
      <c r="H42" s="27" t="str">
        <f t="shared" si="346"/>
        <v/>
      </c>
    </row>
    <row r="43" spans="1:365" ht="30" customHeight="1" x14ac:dyDescent="0.25">
      <c r="G43" s="6"/>
    </row>
    <row r="44" spans="1:365" ht="30" customHeight="1" x14ac:dyDescent="0.25">
      <c r="C44" s="14"/>
      <c r="F44" s="43"/>
    </row>
    <row r="45" spans="1:365" ht="30" customHeight="1" x14ac:dyDescent="0.25">
      <c r="C45" s="15"/>
    </row>
  </sheetData>
  <mergeCells count="55">
    <mergeCell ref="C3:D3"/>
    <mergeCell ref="C4:D4"/>
    <mergeCell ref="B5:G5"/>
    <mergeCell ref="AK4:AQ4"/>
    <mergeCell ref="AR4:AX4"/>
    <mergeCell ref="AY4:BE4"/>
    <mergeCell ref="BF4:BL4"/>
    <mergeCell ref="E3:F3"/>
    <mergeCell ref="I4:O4"/>
    <mergeCell ref="P4:V4"/>
    <mergeCell ref="W4:AC4"/>
    <mergeCell ref="AD4:AJ4"/>
    <mergeCell ref="BM4:BS4"/>
    <mergeCell ref="BT4:BZ4"/>
    <mergeCell ref="CA4:CG4"/>
    <mergeCell ref="CH4:CN4"/>
    <mergeCell ref="CO4:CU4"/>
    <mergeCell ref="CV4:DB4"/>
    <mergeCell ref="DC4:DI4"/>
    <mergeCell ref="DJ4:DP4"/>
    <mergeCell ref="DQ4:DW4"/>
    <mergeCell ref="DX4:ED4"/>
    <mergeCell ref="EE4:EK4"/>
    <mergeCell ref="EL4:ER4"/>
    <mergeCell ref="ES4:EY4"/>
    <mergeCell ref="EZ4:FF4"/>
    <mergeCell ref="FG4:FM4"/>
    <mergeCell ref="FN4:FT4"/>
    <mergeCell ref="FU4:GA4"/>
    <mergeCell ref="GB4:GH4"/>
    <mergeCell ref="GI4:GO4"/>
    <mergeCell ref="GP4:GV4"/>
    <mergeCell ref="GW4:HC4"/>
    <mergeCell ref="HD4:HJ4"/>
    <mergeCell ref="HK4:HQ4"/>
    <mergeCell ref="HR4:HX4"/>
    <mergeCell ref="HY4:IE4"/>
    <mergeCell ref="KJ4:KP4"/>
    <mergeCell ref="JO4:JU4"/>
    <mergeCell ref="JV4:KB4"/>
    <mergeCell ref="KC4:KI4"/>
    <mergeCell ref="IF4:IL4"/>
    <mergeCell ref="IM4:IS4"/>
    <mergeCell ref="IT4:IZ4"/>
    <mergeCell ref="JA4:JG4"/>
    <mergeCell ref="JH4:JN4"/>
    <mergeCell ref="LZ4:MF4"/>
    <mergeCell ref="MG4:MM4"/>
    <mergeCell ref="MN4:MT4"/>
    <mergeCell ref="MU4:NA4"/>
    <mergeCell ref="KQ4:KW4"/>
    <mergeCell ref="KX4:LD4"/>
    <mergeCell ref="LE4:LK4"/>
    <mergeCell ref="LL4:LR4"/>
    <mergeCell ref="LS4:LY4"/>
  </mergeCells>
  <phoneticPr fontId="23" type="noConversion"/>
  <conditionalFormatting sqref="D7:D42">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32:ME32 MH32:NA32 I7:NA31 I33:NA40">
    <cfRule type="expression" dxfId="12" priority="1">
      <formula>AND(task_start&lt;=I$5,ROUNDDOWN((task_end-task_start+1)*task_progress,0)+task_start-1&gt;=I$5)</formula>
    </cfRule>
  </conditionalFormatting>
  <conditionalFormatting sqref="MG32 KI35:KI40 KW35:KW40 LK35:LK40 LY35:LY40 MM35:MM40 NA35:NA40 KI5:KI32 KW5:KW32 LK5:LK32 LY5:LY32 MM5:MM32 NA5:NA32 LD5:LD40 KP5:KP40 LR5:LR40 MF5:MF40 MT5:MT40">
    <cfRule type="expression" dxfId="11" priority="38">
      <formula>AND(TODAY()&gt;=KI$5,TODAY()&lt;#REF!)</formula>
    </cfRule>
  </conditionalFormatting>
  <conditionalFormatting sqref="KI33:KI34 KW33:KW34 LK33:LK34 LY33:LY34 MM33:MM34">
    <cfRule type="expression" dxfId="10" priority="2" stopIfTrue="1">
      <formula>AND(task_end&gt;=KI$5,task_start&lt;KJ$5)</formula>
    </cfRule>
    <cfRule type="expression" dxfId="9" priority="3">
      <formula>AND(TODAY()&gt;=KI$5,TODAY()&lt;KJ$5)</formula>
    </cfRule>
  </conditionalFormatting>
  <conditionalFormatting sqref="MG32 KI35:KI40 KW35:KW40 LK35:LK40 LY35:LY40 MM35:MM40 KI7:KI32 KW7:KW32 LK7:LK32 LY7:LY32 MM7:MM32 LD7:LD40 KP7:KP40 LR7:LR40 MF7:MF40 MT7:MT40 NA7:NA40">
    <cfRule type="expression" dxfId="8" priority="42" stopIfTrue="1">
      <formula>AND(task_end&gt;=KI$5,task_start&lt;#REF!)</formula>
    </cfRule>
  </conditionalFormatting>
  <conditionalFormatting sqref="LR32">
    <cfRule type="expression" dxfId="7" priority="57">
      <formula>AND(TODAY()&gt;=LQ$5,TODAY()&lt;LR$5)</formula>
    </cfRule>
    <cfRule type="expression" dxfId="6" priority="59" stopIfTrue="1">
      <formula>AND(task_end&gt;=LQ$5,task_start&lt;LR$5)</formula>
    </cfRule>
  </conditionalFormatting>
  <conditionalFormatting sqref="MF32:MG32">
    <cfRule type="expression" dxfId="5" priority="47">
      <formula>AND(task_start&lt;=MG$5,ROUNDDOWN((task_end-task_start+1)*task_progress,0)+task_start-1&gt;=MG$5)</formula>
    </cfRule>
  </conditionalFormatting>
  <conditionalFormatting sqref="MF32:MG32">
    <cfRule type="expression" dxfId="4" priority="53">
      <formula>AND(TODAY()&gt;=MG$5,TODAY()&lt;MH$5)</formula>
    </cfRule>
    <cfRule type="expression" dxfId="3" priority="55" stopIfTrue="1">
      <formula>AND(task_end&gt;=MG$5,task_start&lt;MH$5)</formula>
    </cfRule>
  </conditionalFormatting>
  <conditionalFormatting sqref="KI27:KI28 KP29:KP30 KW29:KW30 LY32 MH32:ML32 LK31 MG5:ML31 MG33:ML40 I5:KH40 KJ5:KO40 KQ5:KV40 KX5:LC40 LE5:LJ40 LL5:LQ40 LS5:LX40 LZ5:ME40 MN5:MS40 MU5:MZ40">
    <cfRule type="expression" dxfId="2" priority="36">
      <formula>AND(TODAY()&gt;=I$5,TODAY()&lt;J$5)</formula>
    </cfRule>
  </conditionalFormatting>
  <conditionalFormatting sqref="KI27:KI28 KP29:KP30 KW29:KW30 LY32 MH32:ML32 LK31 MG7:ML31 MG33:ML40 I7:KH40 KJ7:KO40 KQ7:KV40 KX7:LC40 LE7:LJ40 LL7:LQ40 LS7:LX40 LZ7:ME40 MN7:MS40 MU7:MZ40">
    <cfRule type="expression" dxfId="1" priority="31" stopIfTrue="1">
      <formula>AND(task_end&gt;=I$5,task_start&lt;J$5)</formula>
    </cfRule>
  </conditionalFormatting>
  <conditionalFormatting sqref="NA33:NA34">
    <cfRule type="expression" dxfId="0" priority="45">
      <formula>AND(TODAY()&gt;=NA$5,TODAY()&lt;#REF!)</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13"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5" zoomScaleNormal="100" workbookViewId="0">
      <selection activeCell="A10" sqref="A10"/>
    </sheetView>
  </sheetViews>
  <sheetFormatPr defaultColWidth="9.140625" defaultRowHeight="12.75" x14ac:dyDescent="0.2"/>
  <cols>
    <col min="1" max="1" width="87.140625" style="31" customWidth="1"/>
    <col min="2" max="16384" width="9.140625" style="2"/>
  </cols>
  <sheetData>
    <row r="1" spans="1:2" ht="46.5" customHeight="1" x14ac:dyDescent="0.2"/>
    <row r="2" spans="1:2" s="33" customFormat="1" ht="15.75" x14ac:dyDescent="0.25">
      <c r="A2" s="32" t="s">
        <v>56</v>
      </c>
      <c r="B2" s="32"/>
    </row>
    <row r="3" spans="1:2" s="37" customFormat="1" ht="27" customHeight="1" x14ac:dyDescent="0.25">
      <c r="A3" s="38" t="s">
        <v>57</v>
      </c>
      <c r="B3" s="38"/>
    </row>
    <row r="4" spans="1:2" s="34" customFormat="1" ht="26.25" x14ac:dyDescent="0.4">
      <c r="A4" s="35" t="s">
        <v>58</v>
      </c>
    </row>
    <row r="5" spans="1:2" ht="74.099999999999994" customHeight="1" x14ac:dyDescent="0.2">
      <c r="A5" s="36" t="s">
        <v>59</v>
      </c>
    </row>
    <row r="6" spans="1:2" ht="26.25" customHeight="1" x14ac:dyDescent="0.2">
      <c r="A6" s="35" t="s">
        <v>60</v>
      </c>
    </row>
    <row r="7" spans="1:2" s="31" customFormat="1" ht="204.95" customHeight="1" x14ac:dyDescent="0.25">
      <c r="A7" s="40" t="s">
        <v>61</v>
      </c>
    </row>
    <row r="8" spans="1:2" s="34" customFormat="1" ht="26.25" x14ac:dyDescent="0.4">
      <c r="A8" s="35" t="s">
        <v>62</v>
      </c>
    </row>
    <row r="9" spans="1:2" ht="60" x14ac:dyDescent="0.2">
      <c r="A9" s="36" t="s">
        <v>63</v>
      </c>
    </row>
    <row r="10" spans="1:2" s="31" customFormat="1" ht="27.95" customHeight="1" x14ac:dyDescent="0.25">
      <c r="A10" s="39" t="s">
        <v>64</v>
      </c>
    </row>
    <row r="11" spans="1:2" s="34" customFormat="1" ht="26.25" x14ac:dyDescent="0.4">
      <c r="A11" s="35" t="s">
        <v>65</v>
      </c>
    </row>
    <row r="12" spans="1:2" ht="30" x14ac:dyDescent="0.2">
      <c r="A12" s="36" t="s">
        <v>66</v>
      </c>
    </row>
    <row r="13" spans="1:2" s="31" customFormat="1" ht="27.95" customHeight="1" x14ac:dyDescent="0.25">
      <c r="A13" s="39" t="s">
        <v>67</v>
      </c>
    </row>
    <row r="14" spans="1:2" s="34" customFormat="1" ht="26.25" x14ac:dyDescent="0.4">
      <c r="A14" s="35" t="s">
        <v>68</v>
      </c>
    </row>
    <row r="15" spans="1:2" ht="75" customHeight="1" x14ac:dyDescent="0.2">
      <c r="A15" s="36" t="s">
        <v>69</v>
      </c>
    </row>
    <row r="16" spans="1:2" ht="75" x14ac:dyDescent="0.2">
      <c r="A16" s="36" t="s">
        <v>70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2026-07-06T16:53:21Z</dcterms:modified>
  <cp:category/>
  <cp:contentStatus/>
</cp:coreProperties>
</file>